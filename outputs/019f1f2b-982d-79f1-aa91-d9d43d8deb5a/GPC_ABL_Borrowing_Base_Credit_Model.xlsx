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Sources" sheetId="2" r:id="rId2"/>
    <sheet name="Historical Financials" sheetId="3" r:id="rId3"/>
    <sheet name="ABL Assumptions" sheetId="4" r:id="rId4"/>
    <sheet name="AR Aging" sheetId="5" r:id="rId5"/>
    <sheet name="Inventory Eligibility" sheetId="6" r:id="rId6"/>
    <sheet name="Customer Concentration" sheetId="7" r:id="rId7"/>
    <sheet name="Borrowing Base" sheetId="8" r:id="rId8"/>
    <sheet name="Cash Flow Stress" sheetId="9" r:id="rId9"/>
    <sheet name="Dashboard" sheetId="10" r:id="rId10"/>
    <sheet name="Checks" sheetId="11" r:id="rId1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B5" authorId="0">
      <text>
        <r>
          <rPr>
            <sz val="8"/>
            <color indexed="81"/>
            <rFont val="Tahoma"/>
            <family val="2"/>
          </rPr>
          <t>SEC tag: RevenueFromContractWithCustomerExcludingAssessedTax
Form: 10-K report date 2023-12-31
Filed: 2024-02-22
Accession: 0000040987-24-000024
URL: https://www.sec.gov/Archives/edgar/data/40987/000004098724000024/gpc-20231231.htm</t>
        </r>
      </text>
    </comment>
    <comment ref="C5" authorId="0">
      <text>
        <r>
          <rPr>
            <sz val="8"/>
            <color indexed="81"/>
            <rFont val="Tahoma"/>
            <family val="2"/>
          </rPr>
          <t>SEC tag: RevenueFromContractWithCustomerExcludingAssessedTax
Form: 10-K report date 2024-12-31
Filed: 2025-02-21
Accession: 0000040987-25-000026
URL: https://www.sec.gov/Archives/edgar/data/40987/000004098725000026/gpc-20241231.htm</t>
        </r>
      </text>
    </comment>
    <comment ref="D5" authorId="0">
      <text>
        <r>
          <rPr>
            <sz val="8"/>
            <color indexed="81"/>
            <rFont val="Tahoma"/>
            <family val="2"/>
          </rPr>
          <t>SEC tag: RevenueFromContractWithCustomerExcludingAssessedTax
Form: 10-K report date 2025-12-31
Filed: 2026-02-20
Accession: 0000040987-26-000003
URL: https://www.sec.gov/Archives/edgar/data/40987/000004098726000003/gpc-20251231.htm</t>
        </r>
      </text>
    </comment>
    <comment ref="E5" authorId="0">
      <text>
        <r>
          <rPr>
            <sz val="8"/>
            <color indexed="81"/>
            <rFont val="Tahoma"/>
            <family val="2"/>
          </rPr>
          <t>SEC tag: RevenueFromContractWithCustomerExcludingAssessedTax
Form: 10-K report date 2025-12-31
Filed: 2026-02-20
Accession: 0000040987-26-000003
URL: https://www.sec.gov/Archives/edgar/data/40987/000004098726000003/gpc-20251231.htm</t>
        </r>
      </text>
    </comment>
    <comment ref="F5" authorId="0">
      <text>
        <r>
          <rPr>
            <sz val="8"/>
            <color indexed="81"/>
            <rFont val="Tahoma"/>
            <family val="2"/>
          </rPr>
          <t>SEC tag: RevenueFromContractWithCustomerExcludingAssessedTax
Form: 10-K report date 2025-12-31
Filed: 2026-02-20
Accession: 0000040987-26-000003
URL: https://www.sec.gov/Archives/edgar/data/40987/000004098726000003/gpc-20251231.htm</t>
        </r>
      </text>
    </comment>
    <comment ref="B7" authorId="0">
      <text>
        <r>
          <rPr>
            <sz val="8"/>
            <color indexed="81"/>
            <rFont val="Tahoma"/>
            <family val="2"/>
          </rPr>
          <t>SEC tag: IncomeLossFromContinuingOperationsBeforeIncomeTaxesExtraordinaryItemsNoncontrollingInterest
Form: 10-K report date 2023-12-31
Filed: 2024-02-22
Accession: 0000040987-24-000024
URL: https://www.sec.gov/Archives/edgar/data/40987/000004098724000024/gpc-20231231.htm</t>
        </r>
      </text>
    </comment>
    <comment ref="C7" authorId="0">
      <text>
        <r>
          <rPr>
            <sz val="8"/>
            <color indexed="81"/>
            <rFont val="Tahoma"/>
            <family val="2"/>
          </rPr>
          <t>SEC tag: IncomeLossFromContinuingOperationsBeforeIncomeTaxesExtraordinaryItemsNoncontrollingInterest
Form: 10-K report date 2024-12-31
Filed: 2025-02-21
Accession: 0000040987-25-000026
URL: https://www.sec.gov/Archives/edgar/data/40987/000004098725000026/gpc-20241231.htm</t>
        </r>
      </text>
    </comment>
    <comment ref="D7" authorId="0">
      <text>
        <r>
          <rPr>
            <sz val="8"/>
            <color indexed="81"/>
            <rFont val="Tahoma"/>
            <family val="2"/>
          </rPr>
          <t>SEC tag: IncomeLossFromContinuingOperationsBeforeIncomeTaxesExtraordinaryItemsNoncontrollingInterest
Form: 10-K report date 2025-12-31
Filed: 2026-02-20
Accession: 0000040987-26-000003
URL: https://www.sec.gov/Archives/edgar/data/40987/000004098726000003/gpc-20251231.htm</t>
        </r>
      </text>
    </comment>
    <comment ref="E7" authorId="0">
      <text>
        <r>
          <rPr>
            <sz val="8"/>
            <color indexed="81"/>
            <rFont val="Tahoma"/>
            <family val="2"/>
          </rPr>
          <t>SEC tag: IncomeLossFromContinuingOperationsBeforeIncomeTaxesExtraordinaryItemsNoncontrollingInterest
Form: 10-K report date 2025-12-31
Filed: 2026-02-20
Accession: 0000040987-26-000003
URL: https://www.sec.gov/Archives/edgar/data/40987/000004098726000003/gpc-20251231.htm</t>
        </r>
      </text>
    </comment>
    <comment ref="F7" authorId="0">
      <text>
        <r>
          <rPr>
            <sz val="8"/>
            <color indexed="81"/>
            <rFont val="Tahoma"/>
            <family val="2"/>
          </rPr>
          <t>SEC tag: IncomeLossFromContinuingOperationsBeforeIncomeTaxesExtraordinaryItemsNoncontrollingInterest
Form: 10-K report date 2025-12-31
Filed: 2026-02-20
Accession: 0000040987-26-000003
URL: https://www.sec.gov/Archives/edgar/data/40987/000004098726000003/gpc-20251231.htm</t>
        </r>
      </text>
    </comment>
    <comment ref="B8" authorId="0">
      <text>
        <r>
          <rPr>
            <sz val="8"/>
            <color indexed="81"/>
            <rFont val="Tahoma"/>
            <family val="2"/>
          </rPr>
          <t>SEC tag: InterestExpense
Form: 10-K report date 2023-12-31
Filed: 2024-02-22
Accession: 0000040987-24-000024
URL: https://www.sec.gov/Archives/edgar/data/40987/000004098724000024/gpc-20231231.htm</t>
        </r>
      </text>
    </comment>
    <comment ref="C8" authorId="0">
      <text>
        <r>
          <rPr>
            <sz val="8"/>
            <color indexed="81"/>
            <rFont val="Tahoma"/>
            <family val="2"/>
          </rPr>
          <t>SEC tag: InterestExpense
Form: 10-K report date 2023-12-31
Filed: 2024-02-22
Accession: 0000040987-24-000024
URL: https://www.sec.gov/Archives/edgar/data/40987/000004098724000024/gpc-20231231.htm</t>
        </r>
      </text>
    </comment>
    <comment ref="D8" authorId="0">
      <text>
        <r>
          <rPr>
            <sz val="8"/>
            <color indexed="81"/>
            <rFont val="Tahoma"/>
            <family val="2"/>
          </rPr>
          <t>SEC tag: InterestExpense
Form: 10-K report date 2023-12-31
Filed: 2024-02-22
Accession: 0000040987-24-000024
URL: https://www.sec.gov/Archives/edgar/data/40987/000004098724000024/gpc-20231231.htm</t>
        </r>
      </text>
    </comment>
    <comment ref="E8" authorId="0">
      <text>
        <r>
          <rPr>
            <sz val="8"/>
            <color indexed="81"/>
            <rFont val="Tahoma"/>
            <family val="2"/>
          </rPr>
          <t>SEC tag: InterestPaidNet
Form: 10-K report date 2025-12-31
Filed: 2026-02-20
Accession: 0000040987-26-000003
URL: https://www.sec.gov/Archives/edgar/data/40987/000004098726000003/gpc-20251231.htm</t>
        </r>
      </text>
    </comment>
    <comment ref="F8" authorId="0">
      <text>
        <r>
          <rPr>
            <sz val="8"/>
            <color indexed="81"/>
            <rFont val="Tahoma"/>
            <family val="2"/>
          </rPr>
          <t>SEC tag: InterestPaidNet
Form: 10-K report date 2025-12-31
Filed: 2026-02-20
Accession: 0000040987-26-000003
URL: https://www.sec.gov/Archives/edgar/data/40987/000004098726000003/gpc-20251231.htm</t>
        </r>
      </text>
    </comment>
    <comment ref="B9" authorId="0">
      <text>
        <r>
          <rPr>
            <sz val="8"/>
            <color indexed="81"/>
            <rFont val="Tahoma"/>
            <family val="2"/>
          </rPr>
          <t>SEC tag: DepreciationAndAmortization
Form: 10-K report date 2023-12-31
Filed: 2024-02-22
Accession: 0000040987-24-000024
URL: https://www.sec.gov/Archives/edgar/data/40987/000004098724000024/gpc-20231231.htm</t>
        </r>
      </text>
    </comment>
    <comment ref="C9" authorId="0">
      <text>
        <r>
          <rPr>
            <sz val="8"/>
            <color indexed="81"/>
            <rFont val="Tahoma"/>
            <family val="2"/>
          </rPr>
          <t>SEC tag: DepreciationAndAmortization
Form: 10-K report date 2024-12-31
Filed: 2025-02-21
Accession: 0000040987-25-000026
URL: https://www.sec.gov/Archives/edgar/data/40987/000004098725000026/gpc-20241231.htm</t>
        </r>
      </text>
    </comment>
    <comment ref="D9" authorId="0">
      <text>
        <r>
          <rPr>
            <sz val="8"/>
            <color indexed="81"/>
            <rFont val="Tahoma"/>
            <family val="2"/>
          </rPr>
          <t>SEC tag: DepreciationAndAmortization
Form: 10-K report date 2025-12-31
Filed: 2026-02-20
Accession: 0000040987-26-000003
URL: https://www.sec.gov/Archives/edgar/data/40987/000004098726000003/gpc-20251231.htm</t>
        </r>
      </text>
    </comment>
    <comment ref="E9" authorId="0">
      <text>
        <r>
          <rPr>
            <sz val="8"/>
            <color indexed="81"/>
            <rFont val="Tahoma"/>
            <family val="2"/>
          </rPr>
          <t>SEC tag: DepreciationAndAmortization
Form: 10-K report date 2025-12-31
Filed: 2026-02-20
Accession: 0000040987-26-000003
URL: https://www.sec.gov/Archives/edgar/data/40987/000004098726000003/gpc-20251231.htm</t>
        </r>
      </text>
    </comment>
    <comment ref="F9" authorId="0">
      <text>
        <r>
          <rPr>
            <sz val="8"/>
            <color indexed="81"/>
            <rFont val="Tahoma"/>
            <family val="2"/>
          </rPr>
          <t>SEC tag: DepreciationAndAmortization
Form: 10-K report date 2025-12-31
Filed: 2026-02-20
Accession: 0000040987-26-000003
URL: https://www.sec.gov/Archives/edgar/data/40987/000004098726000003/gpc-20251231.htm</t>
        </r>
      </text>
    </comment>
    <comment ref="B12" authorId="0">
      <text>
        <r>
          <rPr>
            <sz val="8"/>
            <color indexed="81"/>
            <rFont val="Tahoma"/>
            <family val="2"/>
          </rPr>
          <t>SEC tag: NetIncomeLoss
Form: 10-K report date 2023-12-31
Filed: 2024-02-22
Accession: 0000040987-24-000024
URL: https://www.sec.gov/Archives/edgar/data/40987/000004098724000024/gpc-20231231.htm</t>
        </r>
      </text>
    </comment>
    <comment ref="C12" authorId="0">
      <text>
        <r>
          <rPr>
            <sz val="8"/>
            <color indexed="81"/>
            <rFont val="Tahoma"/>
            <family val="2"/>
          </rPr>
          <t>SEC tag: NetIncomeLoss
Form: 10-K report date 2024-12-31
Filed: 2025-02-21
Accession: 0000040987-25-000026
URL: https://www.sec.gov/Archives/edgar/data/40987/000004098725000026/gpc-20241231.htm</t>
        </r>
      </text>
    </comment>
    <comment ref="D12" authorId="0">
      <text>
        <r>
          <rPr>
            <sz val="8"/>
            <color indexed="81"/>
            <rFont val="Tahoma"/>
            <family val="2"/>
          </rPr>
          <t>SEC tag: NetIncomeLoss
Form: 10-K report date 2025-12-31
Filed: 2026-02-20
Accession: 0000040987-26-000003
URL: https://www.sec.gov/Archives/edgar/data/40987/000004098726000003/gpc-20251231.htm</t>
        </r>
      </text>
    </comment>
    <comment ref="E12" authorId="0">
      <text>
        <r>
          <rPr>
            <sz val="8"/>
            <color indexed="81"/>
            <rFont val="Tahoma"/>
            <family val="2"/>
          </rPr>
          <t>SEC tag: NetIncomeLoss
Form: 10-K report date 2025-12-31
Filed: 2026-02-20
Accession: 0000040987-26-000003
URL: https://www.sec.gov/Archives/edgar/data/40987/000004098726000003/gpc-20251231.htm</t>
        </r>
      </text>
    </comment>
    <comment ref="F12" authorId="0">
      <text>
        <r>
          <rPr>
            <sz val="8"/>
            <color indexed="81"/>
            <rFont val="Tahoma"/>
            <family val="2"/>
          </rPr>
          <t>SEC tag: NetIncomeLoss
Form: 10-K report date 2025-12-31
Filed: 2026-02-20
Accession: 0000040987-26-000003
URL: https://www.sec.gov/Archives/edgar/data/40987/000004098726000003/gpc-20251231.htm</t>
        </r>
      </text>
    </comment>
    <comment ref="B13" authorId="0">
      <text>
        <r>
          <rPr>
            <sz val="8"/>
            <color indexed="81"/>
            <rFont val="Tahoma"/>
            <family val="2"/>
          </rPr>
          <t>SEC tag: NetCashProvidedByUsedInOperatingActivities
Form: 10-K report date 2023-12-31
Filed: 2024-02-22
Accession: 0000040987-24-000024
URL: https://www.sec.gov/Archives/edgar/data/40987/000004098724000024/gpc-20231231.htm</t>
        </r>
      </text>
    </comment>
    <comment ref="C13" authorId="0">
      <text>
        <r>
          <rPr>
            <sz val="8"/>
            <color indexed="81"/>
            <rFont val="Tahoma"/>
            <family val="2"/>
          </rPr>
          <t>SEC tag: NetCashProvidedByUsedInOperatingActivities
Form: 10-K report date 2024-12-31
Filed: 2025-02-21
Accession: 0000040987-25-000026
URL: https://www.sec.gov/Archives/edgar/data/40987/000004098725000026/gpc-20241231.htm</t>
        </r>
      </text>
    </comment>
    <comment ref="D13" authorId="0">
      <text>
        <r>
          <rPr>
            <sz val="8"/>
            <color indexed="81"/>
            <rFont val="Tahoma"/>
            <family val="2"/>
          </rPr>
          <t>SEC tag: NetCashProvidedByUsedInOperatingActivities
Form: 10-K report date 2025-12-31
Filed: 2026-02-20
Accession: 0000040987-26-000003
URL: https://www.sec.gov/Archives/edgar/data/40987/000004098726000003/gpc-20251231.htm</t>
        </r>
      </text>
    </comment>
    <comment ref="E13" authorId="0">
      <text>
        <r>
          <rPr>
            <sz val="8"/>
            <color indexed="81"/>
            <rFont val="Tahoma"/>
            <family val="2"/>
          </rPr>
          <t>SEC tag: NetCashProvidedByUsedInOperatingActivities
Form: 10-K report date 2025-12-31
Filed: 2026-02-20
Accession: 0000040987-26-000003
URL: https://www.sec.gov/Archives/edgar/data/40987/000004098726000003/gpc-20251231.htm</t>
        </r>
      </text>
    </comment>
    <comment ref="F13" authorId="0">
      <text>
        <r>
          <rPr>
            <sz val="8"/>
            <color indexed="81"/>
            <rFont val="Tahoma"/>
            <family val="2"/>
          </rPr>
          <t>SEC tag: NetCashProvidedByUsedInOperatingActivities
Form: 10-K report date 2025-12-31
Filed: 2026-02-20
Accession: 0000040987-26-000003
URL: https://www.sec.gov/Archives/edgar/data/40987/000004098726000003/gpc-20251231.htm</t>
        </r>
      </text>
    </comment>
    <comment ref="B14" authorId="0">
      <text>
        <r>
          <rPr>
            <sz val="8"/>
            <color indexed="81"/>
            <rFont val="Tahoma"/>
            <family val="2"/>
          </rPr>
          <t>SEC tag: PaymentsToAcquirePropertyPlantAndEquipment
Form: 10-K report date 2023-12-31
Filed: 2024-02-22
Accession: 0000040987-24-000024
URL: https://www.sec.gov/Archives/edgar/data/40987/000004098724000024/gpc-20231231.htm</t>
        </r>
      </text>
    </comment>
    <comment ref="C14" authorId="0">
      <text>
        <r>
          <rPr>
            <sz val="8"/>
            <color indexed="81"/>
            <rFont val="Tahoma"/>
            <family val="2"/>
          </rPr>
          <t>SEC tag: PaymentsToAcquirePropertyPlantAndEquipment
Form: 10-K report date 2024-12-31
Filed: 2025-02-21
Accession: 0000040987-25-000026
URL: https://www.sec.gov/Archives/edgar/data/40987/000004098725000026/gpc-20241231.htm</t>
        </r>
      </text>
    </comment>
    <comment ref="D14" authorId="0">
      <text>
        <r>
          <rPr>
            <sz val="8"/>
            <color indexed="81"/>
            <rFont val="Tahoma"/>
            <family val="2"/>
          </rPr>
          <t>SEC tag: PaymentsToAcquirePropertyPlantAndEquipment
Form: 10-K report date 2025-12-31
Filed: 2026-02-20
Accession: 0000040987-26-000003
URL: https://www.sec.gov/Archives/edgar/data/40987/000004098726000003/gpc-20251231.htm</t>
        </r>
      </text>
    </comment>
    <comment ref="E14" authorId="0">
      <text>
        <r>
          <rPr>
            <sz val="8"/>
            <color indexed="81"/>
            <rFont val="Tahoma"/>
            <family val="2"/>
          </rPr>
          <t>SEC tag: PaymentsToAcquirePropertyPlantAndEquipment
Form: 10-K report date 2025-12-31
Filed: 2026-02-20
Accession: 0000040987-26-000003
URL: https://www.sec.gov/Archives/edgar/data/40987/000004098726000003/gpc-20251231.htm</t>
        </r>
      </text>
    </comment>
    <comment ref="F14" authorId="0">
      <text>
        <r>
          <rPr>
            <sz val="8"/>
            <color indexed="81"/>
            <rFont val="Tahoma"/>
            <family val="2"/>
          </rPr>
          <t>SEC tag: PaymentsToAcquirePropertyPlantAndEquipment
Form: 10-K report date 2025-12-31
Filed: 2026-02-20
Accession: 0000040987-26-000003
URL: https://www.sec.gov/Archives/edgar/data/40987/000004098726000003/gpc-20251231.htm</t>
        </r>
      </text>
    </comment>
    <comment ref="B16" authorId="0">
      <text>
        <r>
          <rPr>
            <sz val="8"/>
            <color indexed="81"/>
            <rFont val="Tahoma"/>
            <family val="2"/>
          </rPr>
          <t>SEC tag: AccountsNotesAndLoansReceivableNetCurrent
Form: 10-K report date 2022-12-31
Filed: 2023-02-23
Accession: 0000040987-23-000008
URL: https://www.sec.gov/Archives/edgar/data/40987/000004098723000008/gpc-20221231.htm</t>
        </r>
      </text>
    </comment>
    <comment ref="C16" authorId="0">
      <text>
        <r>
          <rPr>
            <sz val="8"/>
            <color indexed="81"/>
            <rFont val="Tahoma"/>
            <family val="2"/>
          </rPr>
          <t>SEC tag: AccountsNotesAndLoansReceivableNetCurrent
Form: 10-K report date 2023-12-31
Filed: 2024-02-22
Accession: 0000040987-24-000024
URL: https://www.sec.gov/Archives/edgar/data/40987/000004098724000024/gpc-20231231.htm</t>
        </r>
      </text>
    </comment>
    <comment ref="D16" authorId="0">
      <text>
        <r>
          <rPr>
            <sz val="8"/>
            <color indexed="81"/>
            <rFont val="Tahoma"/>
            <family val="2"/>
          </rPr>
          <t>SEC tag: AccountsNotesAndLoansReceivableNetCurrent
Form: 10-K report date 2024-12-31
Filed: 2025-02-21
Accession: 0000040987-25-000026
URL: https://www.sec.gov/Archives/edgar/data/40987/000004098725000026/gpc-20241231.htm</t>
        </r>
      </text>
    </comment>
    <comment ref="E16" authorId="0">
      <text>
        <r>
          <rPr>
            <sz val="8"/>
            <color indexed="81"/>
            <rFont val="Tahoma"/>
            <family val="2"/>
          </rPr>
          <t>SEC tag: AccountsNotesAndLoansReceivableNetCurrent
Form: 10-K report date 2025-12-31
Filed: 2026-02-20
Accession: 0000040987-26-000003
URL: https://www.sec.gov/Archives/edgar/data/40987/000004098726000003/gpc-20251231.htm</t>
        </r>
      </text>
    </comment>
    <comment ref="F16" authorId="0">
      <text>
        <r>
          <rPr>
            <sz val="8"/>
            <color indexed="81"/>
            <rFont val="Tahoma"/>
            <family val="2"/>
          </rPr>
          <t>SEC tag: AccountsNotesAndLoansReceivableNetCurrent
Form: 10-K report date 2025-12-31
Filed: 2026-02-20
Accession: 0000040987-26-000003
URL: https://www.sec.gov/Archives/edgar/data/40987/000004098726000003/gpc-20251231.htm</t>
        </r>
      </text>
    </comment>
    <comment ref="B17" authorId="0">
      <text>
        <r>
          <rPr>
            <sz val="8"/>
            <color indexed="81"/>
            <rFont val="Tahoma"/>
            <family val="2"/>
          </rPr>
          <t>SEC tag: InventoryNet
Form: 10-K report date 2022-12-31
Filed: 2023-02-23
Accession: 0000040987-23-000008
URL: https://www.sec.gov/Archives/edgar/data/40987/000004098723000008/gpc-20221231.htm</t>
        </r>
      </text>
    </comment>
    <comment ref="C17" authorId="0">
      <text>
        <r>
          <rPr>
            <sz val="8"/>
            <color indexed="81"/>
            <rFont val="Tahoma"/>
            <family val="2"/>
          </rPr>
          <t>SEC tag: InventoryNet
Form: 10-K report date 2023-12-31
Filed: 2024-02-22
Accession: 0000040987-24-000024
URL: https://www.sec.gov/Archives/edgar/data/40987/000004098724000024/gpc-20231231.htm</t>
        </r>
      </text>
    </comment>
    <comment ref="D17" authorId="0">
      <text>
        <r>
          <rPr>
            <sz val="8"/>
            <color indexed="81"/>
            <rFont val="Tahoma"/>
            <family val="2"/>
          </rPr>
          <t>SEC tag: InventoryNet
Form: 10-K report date 2024-12-31
Filed: 2025-02-21
Accession: 0000040987-25-000026
URL: https://www.sec.gov/Archives/edgar/data/40987/000004098725000026/gpc-20241231.htm</t>
        </r>
      </text>
    </comment>
    <comment ref="E17" authorId="0">
      <text>
        <r>
          <rPr>
            <sz val="8"/>
            <color indexed="81"/>
            <rFont val="Tahoma"/>
            <family val="2"/>
          </rPr>
          <t>SEC tag: InventoryNet
Form: 10-K report date 2025-12-31
Filed: 2026-02-20
Accession: 0000040987-26-000003
URL: https://www.sec.gov/Archives/edgar/data/40987/000004098726000003/gpc-20251231.htm</t>
        </r>
      </text>
    </comment>
    <comment ref="F17" authorId="0">
      <text>
        <r>
          <rPr>
            <sz val="8"/>
            <color indexed="81"/>
            <rFont val="Tahoma"/>
            <family val="2"/>
          </rPr>
          <t>SEC tag: InventoryNet
Form: 10-K report date 2025-12-31
Filed: 2026-02-20
Accession: 0000040987-26-000003
URL: https://www.sec.gov/Archives/edgar/data/40987/000004098726000003/gpc-20251231.htm</t>
        </r>
      </text>
    </comment>
    <comment ref="B18" authorId="0">
      <text>
        <r>
          <rPr>
            <sz val="8"/>
            <color indexed="81"/>
            <rFont val="Tahoma"/>
            <family val="2"/>
          </rPr>
          <t>SEC tag: CashCashEquivalentsRestrictedCashAndRestrictedCashEquivalents
Form: 10-K report date 2024-12-31
Filed: 2025-02-21
Accession: 0000040987-25-000026
URL: https://www.sec.gov/Archives/edgar/data/40987/000004098725000026/gpc-20241231.htm</t>
        </r>
      </text>
    </comment>
    <comment ref="C18" authorId="0">
      <text>
        <r>
          <rPr>
            <sz val="8"/>
            <color indexed="81"/>
            <rFont val="Tahoma"/>
            <family val="2"/>
          </rPr>
          <t>SEC tag: CashCashEquivalentsRestrictedCashAndRestrictedCashEquivalents
Form: 10-K report date 2025-12-31
Filed: 2026-02-20
Accession: 0000040987-26-000003
URL: https://www.sec.gov/Archives/edgar/data/40987/000004098726000003/gpc-20251231.htm</t>
        </r>
      </text>
    </comment>
    <comment ref="D18" authorId="0">
      <text>
        <r>
          <rPr>
            <sz val="8"/>
            <color indexed="81"/>
            <rFont val="Tahoma"/>
            <family val="2"/>
          </rPr>
          <t>SEC tag: CashCashEquivalentsRestrictedCashAndRestrictedCashEquivalents
Form: 10-K report date 2025-12-31
Filed: 2026-02-20
Accession: 0000040987-26-000003
URL: https://www.sec.gov/Archives/edgar/data/40987/000004098726000003/gpc-20251231.htm</t>
        </r>
      </text>
    </comment>
    <comment ref="E18" authorId="0">
      <text>
        <r>
          <rPr>
            <sz val="8"/>
            <color indexed="81"/>
            <rFont val="Tahoma"/>
            <family val="2"/>
          </rPr>
          <t>SEC tag: CashCashEquivalentsRestrictedCashAndRestrictedCashEquivalents
Form: 10-K report date 2025-12-31
Filed: 2026-02-20
Accession: 0000040987-26-000003
URL: https://www.sec.gov/Archives/edgar/data/40987/000004098726000003/gpc-20251231.htm</t>
        </r>
      </text>
    </comment>
    <comment ref="F18" authorId="0">
      <text>
        <r>
          <rPr>
            <sz val="8"/>
            <color indexed="81"/>
            <rFont val="Tahoma"/>
            <family val="2"/>
          </rPr>
          <t>SEC tag: CashCashEquivalentsRestrictedCashAndRestrictedCashEquivalents
Form: 10-K report date 2025-12-31
Filed: 2026-02-20
Accession: 0000040987-26-000003
URL: https://www.sec.gov/Archives/edgar/data/40987/000004098726000003/gpc-20251231.htm</t>
        </r>
      </text>
    </comment>
    <comment ref="B19" authorId="0">
      <text>
        <r>
          <rPr>
            <sz val="8"/>
            <color indexed="81"/>
            <rFont val="Tahoma"/>
            <family val="2"/>
          </rPr>
          <t>SEC tag: AssetsCurrent
Form: 10-K report date 2022-12-31
Filed: 2023-02-23
Accession: 0000040987-23-000008
URL: https://www.sec.gov/Archives/edgar/data/40987/000004098723000008/gpc-20221231.htm</t>
        </r>
      </text>
    </comment>
    <comment ref="C19" authorId="0">
      <text>
        <r>
          <rPr>
            <sz val="8"/>
            <color indexed="81"/>
            <rFont val="Tahoma"/>
            <family val="2"/>
          </rPr>
          <t>SEC tag: AssetsCurrent
Form: 10-K report date 2023-12-31
Filed: 2024-02-22
Accession: 0000040987-24-000024
URL: https://www.sec.gov/Archives/edgar/data/40987/000004098724000024/gpc-20231231.htm</t>
        </r>
      </text>
    </comment>
    <comment ref="D19" authorId="0">
      <text>
        <r>
          <rPr>
            <sz val="8"/>
            <color indexed="81"/>
            <rFont val="Tahoma"/>
            <family val="2"/>
          </rPr>
          <t>SEC tag: AssetsCurrent
Form: 10-K report date 2024-12-31
Filed: 2025-02-21
Accession: 0000040987-25-000026
URL: https://www.sec.gov/Archives/edgar/data/40987/000004098725000026/gpc-20241231.htm</t>
        </r>
      </text>
    </comment>
    <comment ref="E19" authorId="0">
      <text>
        <r>
          <rPr>
            <sz val="8"/>
            <color indexed="81"/>
            <rFont val="Tahoma"/>
            <family val="2"/>
          </rPr>
          <t>SEC tag: AssetsCurrent
Form: 10-K report date 2025-12-31
Filed: 2026-02-20
Accession: 0000040987-26-000003
URL: https://www.sec.gov/Archives/edgar/data/40987/000004098726000003/gpc-20251231.htm</t>
        </r>
      </text>
    </comment>
    <comment ref="F19" authorId="0">
      <text>
        <r>
          <rPr>
            <sz val="8"/>
            <color indexed="81"/>
            <rFont val="Tahoma"/>
            <family val="2"/>
          </rPr>
          <t>SEC tag: AssetsCurrent
Form: 10-K report date 2025-12-31
Filed: 2026-02-20
Accession: 0000040987-26-000003
URL: https://www.sec.gov/Archives/edgar/data/40987/000004098726000003/gpc-20251231.htm</t>
        </r>
      </text>
    </comment>
    <comment ref="B20" authorId="0">
      <text>
        <r>
          <rPr>
            <sz val="8"/>
            <color indexed="81"/>
            <rFont val="Tahoma"/>
            <family val="2"/>
          </rPr>
          <t>SEC tag: LiabilitiesCurrent
Form: 10-K report date 2022-12-31
Filed: 2023-02-23
Accession: 0000040987-23-000008
URL: https://www.sec.gov/Archives/edgar/data/40987/000004098723000008/gpc-20221231.htm</t>
        </r>
      </text>
    </comment>
    <comment ref="C20" authorId="0">
      <text>
        <r>
          <rPr>
            <sz val="8"/>
            <color indexed="81"/>
            <rFont val="Tahoma"/>
            <family val="2"/>
          </rPr>
          <t>SEC tag: LiabilitiesCurrent
Form: 10-K report date 2023-12-31
Filed: 2024-02-22
Accession: 0000040987-24-000024
URL: https://www.sec.gov/Archives/edgar/data/40987/000004098724000024/gpc-20231231.htm</t>
        </r>
      </text>
    </comment>
    <comment ref="D20" authorId="0">
      <text>
        <r>
          <rPr>
            <sz val="8"/>
            <color indexed="81"/>
            <rFont val="Tahoma"/>
            <family val="2"/>
          </rPr>
          <t>SEC tag: LiabilitiesCurrent
Form: 10-K report date 2024-12-31
Filed: 2025-02-21
Accession: 0000040987-25-000026
URL: https://www.sec.gov/Archives/edgar/data/40987/000004098725000026/gpc-20241231.htm</t>
        </r>
      </text>
    </comment>
    <comment ref="E20" authorId="0">
      <text>
        <r>
          <rPr>
            <sz val="8"/>
            <color indexed="81"/>
            <rFont val="Tahoma"/>
            <family val="2"/>
          </rPr>
          <t>SEC tag: LiabilitiesCurrent
Form: 10-K report date 2025-12-31
Filed: 2026-02-20
Accession: 0000040987-26-000003
URL: https://www.sec.gov/Archives/edgar/data/40987/000004098726000003/gpc-20251231.htm</t>
        </r>
      </text>
    </comment>
    <comment ref="F20" authorId="0">
      <text>
        <r>
          <rPr>
            <sz val="8"/>
            <color indexed="81"/>
            <rFont val="Tahoma"/>
            <family val="2"/>
          </rPr>
          <t>SEC tag: LiabilitiesCurrent
Form: 10-K report date 2025-12-31
Filed: 2026-02-20
Accession: 0000040987-26-000003
URL: https://www.sec.gov/Archives/edgar/data/40987/000004098726000003/gpc-20251231.htm</t>
        </r>
      </text>
    </comment>
    <comment ref="B21" authorId="0">
      <text>
        <r>
          <rPr>
            <sz val="8"/>
            <color indexed="81"/>
            <rFont val="Tahoma"/>
            <family val="2"/>
          </rPr>
          <t>Modeled as zero because SEC tag ShortTermBorrowings was not reported for this fiscal year.</t>
        </r>
      </text>
    </comment>
    <comment ref="C21" authorId="0">
      <text>
        <r>
          <rPr>
            <sz val="8"/>
            <color indexed="81"/>
            <rFont val="Tahoma"/>
            <family val="2"/>
          </rPr>
          <t>Modeled as zero because SEC tag ShortTermBorrowings was not reported for this fiscal year.</t>
        </r>
      </text>
    </comment>
    <comment ref="D21" authorId="0">
      <text>
        <r>
          <rPr>
            <sz val="8"/>
            <color indexed="81"/>
            <rFont val="Tahoma"/>
            <family val="2"/>
          </rPr>
          <t>Modeled as zero because SEC tag ShortTermBorrowings was not reported for this fiscal year.</t>
        </r>
      </text>
    </comment>
    <comment ref="E21" authorId="0">
      <text>
        <r>
          <rPr>
            <sz val="8"/>
            <color indexed="81"/>
            <rFont val="Tahoma"/>
            <family val="2"/>
          </rPr>
          <t>SEC tag: ShortTermBorrowings
Form: 10-K report date 2025-12-31
Filed: 2026-02-20
Accession: 0000040987-26-000003
URL: https://www.sec.gov/Archives/edgar/data/40987/000004098726000003/gpc-20251231.htm</t>
        </r>
      </text>
    </comment>
    <comment ref="F21" authorId="0">
      <text>
        <r>
          <rPr>
            <sz val="8"/>
            <color indexed="81"/>
            <rFont val="Tahoma"/>
            <family val="2"/>
          </rPr>
          <t>SEC tag: ShortTermBorrowings
Form: 10-K report date 2025-12-31
Filed: 2026-02-20
Accession: 0000040987-26-000003
URL: https://www.sec.gov/Archives/edgar/data/40987/000004098726000003/gpc-20251231.htm</t>
        </r>
      </text>
    </comment>
    <comment ref="B22" authorId="0">
      <text>
        <r>
          <rPr>
            <sz val="8"/>
            <color indexed="81"/>
            <rFont val="Tahoma"/>
            <family val="2"/>
          </rPr>
          <t>Modeled as zero because SEC tag CommercialPaper was not reported for this fiscal year.</t>
        </r>
      </text>
    </comment>
    <comment ref="C22" authorId="0">
      <text>
        <r>
          <rPr>
            <sz val="8"/>
            <color indexed="81"/>
            <rFont val="Tahoma"/>
            <family val="2"/>
          </rPr>
          <t>Modeled as zero because SEC tag CommercialPaper was not reported for this fiscal year.</t>
        </r>
      </text>
    </comment>
    <comment ref="D22" authorId="0">
      <text>
        <r>
          <rPr>
            <sz val="8"/>
            <color indexed="81"/>
            <rFont val="Tahoma"/>
            <family val="2"/>
          </rPr>
          <t>SEC tag: CommercialPaper
Form: 10-K report date 2024-12-31
Filed: 2025-02-21
Accession: 0000040987-25-000026
URL: https://www.sec.gov/Archives/edgar/data/40987/000004098725000026/gpc-20241231.htm</t>
        </r>
      </text>
    </comment>
    <comment ref="E22" authorId="0">
      <text>
        <r>
          <rPr>
            <sz val="8"/>
            <color indexed="81"/>
            <rFont val="Tahoma"/>
            <family val="2"/>
          </rPr>
          <t>SEC tag: CommercialPaper
Form: 10-K report date 2025-12-31
Filed: 2026-02-20
Accession: 0000040987-26-000003
URL: https://www.sec.gov/Archives/edgar/data/40987/000004098726000003/gpc-20251231.htm</t>
        </r>
      </text>
    </comment>
    <comment ref="F22" authorId="0">
      <text>
        <r>
          <rPr>
            <sz val="8"/>
            <color indexed="81"/>
            <rFont val="Tahoma"/>
            <family val="2"/>
          </rPr>
          <t>SEC tag: CommercialPaper
Form: 10-K report date 2025-12-31
Filed: 2026-02-20
Accession: 0000040987-26-000003
URL: https://www.sec.gov/Archives/edgar/data/40987/000004098726000003/gpc-20251231.htm</t>
        </r>
      </text>
    </comment>
    <comment ref="B23" authorId="0">
      <text>
        <r>
          <rPr>
            <sz val="8"/>
            <color indexed="81"/>
            <rFont val="Tahoma"/>
            <family val="2"/>
          </rPr>
          <t>SEC tag: LongTermDebtCurrent
Form: 10-K report date 2022-12-31
Filed: 2023-02-23
Accession: 0000040987-23-000008
URL: https://www.sec.gov/Archives/edgar/data/40987/000004098723000008/gpc-20221231.htm</t>
        </r>
      </text>
    </comment>
    <comment ref="C23" authorId="0">
      <text>
        <r>
          <rPr>
            <sz val="8"/>
            <color indexed="81"/>
            <rFont val="Tahoma"/>
            <family val="2"/>
          </rPr>
          <t>SEC tag: LongTermDebtCurrent
Form: 10-K report date 2023-12-31
Filed: 2024-02-22
Accession: 0000040987-24-000024
URL: https://www.sec.gov/Archives/edgar/data/40987/000004098724000024/gpc-20231231.htm</t>
        </r>
      </text>
    </comment>
    <comment ref="D23" authorId="0">
      <text>
        <r>
          <rPr>
            <sz val="8"/>
            <color indexed="81"/>
            <rFont val="Tahoma"/>
            <family val="2"/>
          </rPr>
          <t>SEC tag: LongTermDebtCurrent
Form: 10-K report date 2024-12-31
Filed: 2025-02-21
Accession: 0000040987-25-000026
URL: https://www.sec.gov/Archives/edgar/data/40987/000004098725000026/gpc-20241231.htm</t>
        </r>
      </text>
    </comment>
    <comment ref="E23" authorId="0">
      <text>
        <r>
          <rPr>
            <sz val="8"/>
            <color indexed="81"/>
            <rFont val="Tahoma"/>
            <family val="2"/>
          </rPr>
          <t>SEC tag: LongTermDebtCurrent
Form: 10-K report date 2025-12-31
Filed: 2026-02-20
Accession: 0000040987-26-000003
URL: https://www.sec.gov/Archives/edgar/data/40987/000004098726000003/gpc-20251231.htm</t>
        </r>
      </text>
    </comment>
    <comment ref="F23" authorId="0">
      <text>
        <r>
          <rPr>
            <sz val="8"/>
            <color indexed="81"/>
            <rFont val="Tahoma"/>
            <family val="2"/>
          </rPr>
          <t>SEC tag: LongTermDebtCurrent
Form: 10-K report date 2025-12-31
Filed: 2026-02-20
Accession: 0000040987-26-000003
URL: https://www.sec.gov/Archives/edgar/data/40987/000004098726000003/gpc-20251231.htm</t>
        </r>
      </text>
    </comment>
    <comment ref="B24" authorId="0">
      <text>
        <r>
          <rPr>
            <sz val="8"/>
            <color indexed="81"/>
            <rFont val="Tahoma"/>
            <family val="2"/>
          </rPr>
          <t>SEC tag: LongTermDebtNoncurrent
Form: 10-K report date 2022-12-31
Filed: 2023-02-23
Accession: 0000040987-23-000008
URL: https://www.sec.gov/Archives/edgar/data/40987/000004098723000008/gpc-20221231.htm</t>
        </r>
      </text>
    </comment>
    <comment ref="C24" authorId="0">
      <text>
        <r>
          <rPr>
            <sz val="8"/>
            <color indexed="81"/>
            <rFont val="Tahoma"/>
            <family val="2"/>
          </rPr>
          <t>SEC tag: LongTermDebtNoncurrent
Form: 10-K report date 2023-12-31
Filed: 2024-02-22
Accession: 0000040987-24-000024
URL: https://www.sec.gov/Archives/edgar/data/40987/000004098724000024/gpc-20231231.htm</t>
        </r>
      </text>
    </comment>
    <comment ref="D24" authorId="0">
      <text>
        <r>
          <rPr>
            <sz val="8"/>
            <color indexed="81"/>
            <rFont val="Tahoma"/>
            <family val="2"/>
          </rPr>
          <t>SEC tag: LongTermDebtNoncurrent
Form: 10-K report date 2024-12-31
Filed: 2025-02-21
Accession: 0000040987-25-000026
URL: https://www.sec.gov/Archives/edgar/data/40987/000004098725000026/gpc-20241231.htm</t>
        </r>
      </text>
    </comment>
    <comment ref="E24" authorId="0">
      <text>
        <r>
          <rPr>
            <sz val="8"/>
            <color indexed="81"/>
            <rFont val="Tahoma"/>
            <family val="2"/>
          </rPr>
          <t>SEC tag: LongTermDebtNoncurrent
Form: 10-K report date 2025-12-31
Filed: 2026-02-20
Accession: 0000040987-26-000003
URL: https://www.sec.gov/Archives/edgar/data/40987/000004098726000003/gpc-20251231.htm</t>
        </r>
      </text>
    </comment>
    <comment ref="F24" authorId="0">
      <text>
        <r>
          <rPr>
            <sz val="8"/>
            <color indexed="81"/>
            <rFont val="Tahoma"/>
            <family val="2"/>
          </rPr>
          <t>SEC tag: LongTermDebtNoncurrent
Form: 10-K report date 2025-12-31
Filed: 2026-02-20
Accession: 0000040987-26-000003
URL: https://www.sec.gov/Archives/edgar/data/40987/000004098726000003/gpc-20251231.htm</t>
        </r>
      </text>
    </comment>
  </commentList>
</comments>
</file>

<file path=xl/sharedStrings.xml><?xml version="1.0" encoding="utf-8"?>
<sst xmlns="http://schemas.openxmlformats.org/spreadsheetml/2006/main" count="862" uniqueCount="323">
  <si>
    <t>Asset Based Lending Credit Analysis</t>
  </si>
  <si>
    <t>Borrowing Base and Cash Flow Stress Test | Genuine Parts Company (GPC)</t>
  </si>
  <si>
    <t>Project Use</t>
  </si>
  <si>
    <t>Purpose</t>
  </si>
  <si>
    <t>Estimate ABL borrowing capacity from SEC financials.
Stress AR, inventory, reserves, liquidity, and cash-flow support.</t>
  </si>
  <si>
    <t>Workbook map</t>
  </si>
  <si>
    <t>Sources</t>
  </si>
  <si>
    <t>SEC filings, XBRL tags, and assumption notes.</t>
  </si>
  <si>
    <t>Historical Financials</t>
  </si>
  <si>
    <t>Reported history and lender-style liquidity ratios.</t>
  </si>
  <si>
    <t>ABL Assumptions</t>
  </si>
  <si>
    <t>Editable scenario drivers; blue font marks inputs.</t>
  </si>
  <si>
    <t>AR Aging / Inventory / Customer Concentration</t>
  </si>
  <si>
    <t>Collateral eligibility schedules for ABL controls.</t>
  </si>
  <si>
    <t>Borrowing Base</t>
  </si>
  <si>
    <t>Eligible collateral x advance rates, less reserves, vs. loan balance.</t>
  </si>
  <si>
    <t>Cash Flow Stress</t>
  </si>
  <si>
    <t>Base/downside/stress repayment capacity and liquidity outputs.</t>
  </si>
  <si>
    <t>Dashboard</t>
  </si>
  <si>
    <t>Credit committee style summary view.</t>
  </si>
  <si>
    <t>Checks</t>
  </si>
  <si>
    <t>Tie-outs and model-status tests.</t>
  </si>
  <si>
    <t>Key modeling caveat</t>
  </si>
  <si>
    <t>ABL detail schedules are illustrative.
Scaled to FY2025 reported AR and inventory.</t>
  </si>
  <si>
    <t>Latest annual filing</t>
  </si>
  <si>
    <t>10-K filed 2026-02-20</t>
  </si>
  <si>
    <t>Latest quarterly filing context</t>
  </si>
  <si>
    <t>10-Q filed 2026-04-21</t>
  </si>
  <si>
    <t>Sources and Audit Trail</t>
  </si>
  <si>
    <t>Company</t>
  </si>
  <si>
    <t>GENUINE PARTS CO</t>
  </si>
  <si>
    <t>CIK</t>
  </si>
  <si>
    <t>0000040987</t>
  </si>
  <si>
    <t>SIC</t>
  </si>
  <si>
    <t>5013 - Wholesale-Motor Vehicle Supplies &amp; New Parts</t>
  </si>
  <si>
    <t>SEC companyfacts API</t>
  </si>
  <si>
    <t>SEC submissions API</t>
  </si>
  <si>
    <t>Metric</t>
  </si>
  <si>
    <t>Year</t>
  </si>
  <si>
    <t>Value ($mm)</t>
  </si>
  <si>
    <t>SEC Tag</t>
  </si>
  <si>
    <t>Form</t>
  </si>
  <si>
    <t>Filed</t>
  </si>
  <si>
    <t>Accession</t>
  </si>
  <si>
    <t>URL / Notes</t>
  </si>
  <si>
    <t>Revenue</t>
  </si>
  <si>
    <t>RevenueFromContractWithCustomerExcludingAssessedTax</t>
  </si>
  <si>
    <t>10-K</t>
  </si>
  <si>
    <t>2024-02-22</t>
  </si>
  <si>
    <t>0000040987-24-000024</t>
  </si>
  <si>
    <t>SEC filing</t>
  </si>
  <si>
    <t>2025-02-21</t>
  </si>
  <si>
    <t>0000040987-25-000026</t>
  </si>
  <si>
    <t>2026-02-20</t>
  </si>
  <si>
    <t>0000040987-26-000003</t>
  </si>
  <si>
    <t>Pretax income</t>
  </si>
  <si>
    <t>IncomeLossFromContinuingOperationsBeforeIncomeTaxesExtraordinaryItemsNoncontrollingInterest</t>
  </si>
  <si>
    <t>Income tax expense</t>
  </si>
  <si>
    <t>IncomeTaxExpenseBenefit</t>
  </si>
  <si>
    <t>Net income</t>
  </si>
  <si>
    <t>NetIncomeLoss</t>
  </si>
  <si>
    <t>Net cash provided by operating activities</t>
  </si>
  <si>
    <t>NetCashProvidedByUsedInOperatingActivities</t>
  </si>
  <si>
    <t>Capital expenditures</t>
  </si>
  <si>
    <t>PaymentsToAcquirePropertyPlantAndEquipment</t>
  </si>
  <si>
    <t>Interest expense</t>
  </si>
  <si>
    <t>InterestExpense</t>
  </si>
  <si>
    <t>No source fact extracted.</t>
  </si>
  <si>
    <t>Interest paid</t>
  </si>
  <si>
    <t>InterestPaidNet</t>
  </si>
  <si>
    <t>Depreciation and amortization</t>
  </si>
  <si>
    <t>DepreciationAndAmortization</t>
  </si>
  <si>
    <t>Cash, cash equivalents and restricted cash</t>
  </si>
  <si>
    <t>CashCashEquivalentsRestrictedCashAndRestrictedCashEquivalents</t>
  </si>
  <si>
    <t>Accounts, notes and loans receivable, net</t>
  </si>
  <si>
    <t>AccountsNotesAndLoansReceivableNetCurrent</t>
  </si>
  <si>
    <t>2023-02-23</t>
  </si>
  <si>
    <t>0000040987-23-000008</t>
  </si>
  <si>
    <t>Inventory, net</t>
  </si>
  <si>
    <t>InventoryNet</t>
  </si>
  <si>
    <t>Current assets</t>
  </si>
  <si>
    <t>AssetsCurrent</t>
  </si>
  <si>
    <t>Current liabilities</t>
  </si>
  <si>
    <t>LiabilitiesCurrent</t>
  </si>
  <si>
    <t>Short-term borrowings</t>
  </si>
  <si>
    <t>ShortTermBorrowings</t>
  </si>
  <si>
    <t>Modeled as zero because the SEC tag was not reported.</t>
  </si>
  <si>
    <t>Commercial paper</t>
  </si>
  <si>
    <t>CommercialPaper</t>
  </si>
  <si>
    <t>Current maturities of long-term debt</t>
  </si>
  <si>
    <t>LongTermDebtCurrent</t>
  </si>
  <si>
    <t>Long-term debt, noncurrent</t>
  </si>
  <si>
    <t>LongTermDebtNoncurrent</t>
  </si>
  <si>
    <t>Assumption sources</t>
  </si>
  <si>
    <t>ABL eligibility rates, reserves, concentration thresholds, and scenario stress cases are analyst assumptions designed to demonstrate borrowing-base mechanics. Adjust blue-font inputs on ABL Assumptions to test alternatives.</t>
  </si>
  <si>
    <t>USD in millions except ratios. SEC-sourced inputs include cell comments with tag and filing references.</t>
  </si>
  <si>
    <t>Fiscal year</t>
  </si>
  <si>
    <t>Notes</t>
  </si>
  <si>
    <t>Revenue growth</t>
  </si>
  <si>
    <t>Interest expense / paid fallback</t>
  </si>
  <si>
    <t>Uses InterestExpense where reported; InterestPaidNet fallback for 2024-2025.</t>
  </si>
  <si>
    <t>Depreciation &amp; amortization</t>
  </si>
  <si>
    <t>EBITDA proxy</t>
  </si>
  <si>
    <t>Analyst proxy for lending review; not company-reported adjusted EBITDA or a formal operating CCC metric.</t>
  </si>
  <si>
    <t>EBITDA margin</t>
  </si>
  <si>
    <t>Operating cash flow</t>
  </si>
  <si>
    <t>Free cash flow</t>
  </si>
  <si>
    <t>Accounts receivable</t>
  </si>
  <si>
    <t>Inventory</t>
  </si>
  <si>
    <t>Cash and restricted cash</t>
  </si>
  <si>
    <t>Total debt</t>
  </si>
  <si>
    <t>Net debt</t>
  </si>
  <si>
    <t>Current ratio</t>
  </si>
  <si>
    <t>Quick ratio</t>
  </si>
  <si>
    <t>DSO</t>
  </si>
  <si>
    <t>Inventory days (sales-based)</t>
  </si>
  <si>
    <t>Current liability days (sales-based)</t>
  </si>
  <si>
    <t>Cash conversion cycle proxy</t>
  </si>
  <si>
    <t>Debt / EBITDA</t>
  </si>
  <si>
    <t>EBITDA / interest</t>
  </si>
  <si>
    <t>Blue-font cells are editable scenario assumptions. Values shown are illustrative lender assumptions.</t>
  </si>
  <si>
    <t>Driver</t>
  </si>
  <si>
    <t>Base</t>
  </si>
  <si>
    <t>Downside</t>
  </si>
  <si>
    <t>Stress</t>
  </si>
  <si>
    <t>Rationale</t>
  </si>
  <si>
    <t>Revenue growth / shock</t>
  </si>
  <si>
    <t>Revenue stress drives AR balance and borrower cash flow.</t>
  </si>
  <si>
    <t>EBITDA margin change</t>
  </si>
  <si>
    <t>Downside cases compress cash-flow repayment capacity.</t>
  </si>
  <si>
    <t>AR eligible %</t>
  </si>
  <si>
    <t>Excludes 90+ day, disputed, affiliate, unsupported foreign, and cross-aged receivables.</t>
  </si>
  <si>
    <t>AR advance rate</t>
  </si>
  <si>
    <t>Typical ABL AR advance range for eligible receivables.</t>
  </si>
  <si>
    <t>Inventory balance change</t>
  </si>
  <si>
    <t>Downside assumes inventory builds while eligibility and NOLV support deteriorate.</t>
  </si>
  <si>
    <t>Inventory eligible %</t>
  </si>
  <si>
    <t>Excludes obsolete, consigned, slow-moving, and unsupported offsite inventory.</t>
  </si>
  <si>
    <t>Inventory advance rate</t>
  </si>
  <si>
    <t>Applied against eligible inventory; conservative vs. AR advance.</t>
  </si>
  <si>
    <t>Dilution reserve % of gross AR</t>
  </si>
  <si>
    <t>Proxy for credits, disputes, returns, and unapplied cash.</t>
  </si>
  <si>
    <t>Concentration reserve % of gross AR</t>
  </si>
  <si>
    <t>Proxy for obligor concentration above borrowing-base limits.</t>
  </si>
  <si>
    <t>Other reserves ($mm)</t>
  </si>
  <si>
    <t>Rent, freight, tax, and other collateral-control reserves.</t>
  </si>
  <si>
    <t>Availability block ($mm)</t>
  </si>
  <si>
    <t>Minimum cushion retained by the lender.</t>
  </si>
  <si>
    <t>ABL loan balance change</t>
  </si>
  <si>
    <t>Downside assumes higher revolver draw / working-capital funding need.</t>
  </si>
  <si>
    <t>Interest rate uplift</t>
  </si>
  <si>
    <t>Sensitivity to higher borrowing cost.</t>
  </si>
  <si>
    <t>CFO conversion of EBITDA</t>
  </si>
  <si>
    <t>Working-capital stress lowers EBITDA-to-cash conversion.</t>
  </si>
  <si>
    <t>Capex % of revenue</t>
  </si>
  <si>
    <t>Simplified maintenance and growth capex assumption.</t>
  </si>
  <si>
    <t>AR Aging and Eligibility</t>
  </si>
  <si>
    <t>Illustrative borrowing-base certificate schedule scaled to reported FY2025 accounts receivable.</t>
  </si>
  <si>
    <t>Reported 2025 AR</t>
  </si>
  <si>
    <t>Bucket / Exclusion</t>
  </si>
  <si>
    <t>% of AR</t>
  </si>
  <si>
    <t>Gross AR</t>
  </si>
  <si>
    <t>Ineligible %</t>
  </si>
  <si>
    <t>Eligible AR</t>
  </si>
  <si>
    <t>Advance Rate</t>
  </si>
  <si>
    <t>Advance Value</t>
  </si>
  <si>
    <t>ABL treatment</t>
  </si>
  <si>
    <t>Current</t>
  </si>
  <si>
    <t>Eligible if billed, earned, and not contra/affiliate.</t>
  </si>
  <si>
    <t>1-30 days past due</t>
  </si>
  <si>
    <t>Normally eligible subject to concentration and dilution controls.</t>
  </si>
  <si>
    <t>31-60 days past due</t>
  </si>
  <si>
    <t>Partial haircut for aging deterioration.</t>
  </si>
  <si>
    <t>61-90 days past due</t>
  </si>
  <si>
    <t>Higher ineligibility due to near-threshold aging.</t>
  </si>
  <si>
    <t>90+ days past due</t>
  </si>
  <si>
    <t>Typically ineligible under ABL borrowing-base rules.</t>
  </si>
  <si>
    <t>Disputed / offset</t>
  </si>
  <si>
    <t>Excluded due to dispute, credit memo, or payable offset.</t>
  </si>
  <si>
    <t>Affiliate / unsupported foreign</t>
  </si>
  <si>
    <t>Excluded without acceptable credit support.</t>
  </si>
  <si>
    <t>Total</t>
  </si>
  <si>
    <t>Inventory Eligibility</t>
  </si>
  <si>
    <t>Illustrative eligibility schedule scaled to reported FY2025 inventory.</t>
  </si>
  <si>
    <t>Reported 2025 inventory</t>
  </si>
  <si>
    <t>Inventory segment</t>
  </si>
  <si>
    <t>% of inventory</t>
  </si>
  <si>
    <t>Gross inventory</t>
  </si>
  <si>
    <t>Eligible %</t>
  </si>
  <si>
    <t>Eligible inventory</t>
  </si>
  <si>
    <t>Finished goods / parts</t>
  </si>
  <si>
    <t>Primary collateral pool for an auto-parts distributor.</t>
  </si>
  <si>
    <t>Slow-moving inventory</t>
  </si>
  <si>
    <t>Partial eligibility haircut due to turnover risk.</t>
  </si>
  <si>
    <t>Raw materials</t>
  </si>
  <si>
    <t>Not material for distributor model.</t>
  </si>
  <si>
    <t>Work-in-process</t>
  </si>
  <si>
    <t>Obsolete inventory</t>
  </si>
  <si>
    <t>Excluded from eligible inventory.</t>
  </si>
  <si>
    <t>Consigned inventory</t>
  </si>
  <si>
    <t>Excluded unless lender has acceptable control agreement.</t>
  </si>
  <si>
    <t>Unsupported offsite inventory</t>
  </si>
  <si>
    <t>Excluded without field exam/control support.</t>
  </si>
  <si>
    <t>Other eligible inventory</t>
  </si>
  <si>
    <t>Eligible after standard reserves and NOLV haircut.</t>
  </si>
  <si>
    <t>Customer Concentration Risk</t>
  </si>
  <si>
    <t>Illustrative obligor schedule. Public filings do not provide AR by customer.</t>
  </si>
  <si>
    <t>Customer</t>
  </si>
  <si>
    <t>AR balance</t>
  </si>
  <si>
    <t>Limit</t>
  </si>
  <si>
    <t>Excess over limit</t>
  </si>
  <si>
    <t>Reserve @ AR advance</t>
  </si>
  <si>
    <t>Flag</t>
  </si>
  <si>
    <t>Customer A</t>
  </si>
  <si>
    <t>Concentration limit set at 10% for demonstration.</t>
  </si>
  <si>
    <t>Customer B</t>
  </si>
  <si>
    <t>Customer C</t>
  </si>
  <si>
    <t>Customer D</t>
  </si>
  <si>
    <t>Customer E</t>
  </si>
  <si>
    <t>Customer F</t>
  </si>
  <si>
    <t>Customer G</t>
  </si>
  <si>
    <t>Customer H</t>
  </si>
  <si>
    <t>Customer I</t>
  </si>
  <si>
    <t>Customer J</t>
  </si>
  <si>
    <t>All other customers</t>
  </si>
  <si>
    <t>Borrowing Base Calculation</t>
  </si>
  <si>
    <t>Eligible AR plus eligible inventory, less reserves, compared with estimated ABL loan balance.</t>
  </si>
  <si>
    <t>Borrowing-base component</t>
  </si>
  <si>
    <t>Formula / Control</t>
  </si>
  <si>
    <t>Reported AR scaled by revenue stress.</t>
  </si>
  <si>
    <t>Scenario assumption.</t>
  </si>
  <si>
    <t>Gross AR x AR eligible %.</t>
  </si>
  <si>
    <t>AR availability</t>
  </si>
  <si>
    <t>Eligible AR x AR advance rate.</t>
  </si>
  <si>
    <t>Reported inventory scaled by inventory build assumption.</t>
  </si>
  <si>
    <t>Gross inventory x inventory eligible %.</t>
  </si>
  <si>
    <t>Inventory availability</t>
  </si>
  <si>
    <t>Eligible inventory x inventory advance rate.</t>
  </si>
  <si>
    <t>Total collateral availability</t>
  </si>
  <si>
    <t>AR availability + inventory availability.</t>
  </si>
  <si>
    <t>Dilution reserve</t>
  </si>
  <si>
    <t>Gross AR x dilution reserve %.</t>
  </si>
  <si>
    <t>Concentration reserve</t>
  </si>
  <si>
    <t>Greater of scenario reserve and illustrative concentration schedule for Base.</t>
  </si>
  <si>
    <t>Other reserves</t>
  </si>
  <si>
    <t>Availability block</t>
  </si>
  <si>
    <t>Total reserves</t>
  </si>
  <si>
    <t>Sum of reserves.</t>
  </si>
  <si>
    <t>Borrowing base</t>
  </si>
  <si>
    <t>Total collateral availability less reserves.</t>
  </si>
  <si>
    <t>Estimated ABL loan balance</t>
  </si>
  <si>
    <t>2025 short-term borrowings + CP + current debt, adjusted by scenario.</t>
  </si>
  <si>
    <t>Excess availability</t>
  </si>
  <si>
    <t>Borrowing base less loan balance.</t>
  </si>
  <si>
    <t>Utilization</t>
  </si>
  <si>
    <t>Loan balance / borrowing base.</t>
  </si>
  <si>
    <t>Minimum liquidity</t>
  </si>
  <si>
    <t>Cash + excess availability.</t>
  </si>
  <si>
    <t>Availability alert</t>
  </si>
  <si>
    <t>Flags low availability or borrowing-base deficiency.</t>
  </si>
  <si>
    <t>Cash Flow Stress Test</t>
  </si>
  <si>
    <t>Tests whether cash flow and collateral availability support debt service under weakening cases.</t>
  </si>
  <si>
    <t>Interpretation</t>
  </si>
  <si>
    <t>2025 revenue adjusted by scenario shock.</t>
  </si>
  <si>
    <t>2025 EBITDA proxy margin plus scenario margin change.</t>
  </si>
  <si>
    <t>Revenue x EBITDA margin.</t>
  </si>
  <si>
    <t>Interest cash cost</t>
  </si>
  <si>
    <t>2025 interest paid plus rate uplift on ABL loan balance.</t>
  </si>
  <si>
    <t>Primary cash-flow coverage indicator.</t>
  </si>
  <si>
    <t>2025 total debt plus incremental scenario draw.</t>
  </si>
  <si>
    <t>Leverage pressure indicator.</t>
  </si>
  <si>
    <t>Operating cash flow proxy</t>
  </si>
  <si>
    <t>EBITDA x CFO conversion assumption.</t>
  </si>
  <si>
    <t>Capex</t>
  </si>
  <si>
    <t>Revenue x capex % assumption.</t>
  </si>
  <si>
    <t>Operating cash flow proxy less capex.</t>
  </si>
  <si>
    <t>Linked to borrowing-base schedule.</t>
  </si>
  <si>
    <t>Scenario risk rating</t>
  </si>
  <si>
    <t>Pass / Watch / High Risk based on liquidity, coverage, and leverage.</t>
  </si>
  <si>
    <t>ABL Credit Dashboard: Genuine Parts Company</t>
  </si>
  <si>
    <t>Borrowing base, liquidity, cash-flow coverage, and downside protection summary.</t>
  </si>
  <si>
    <t>Base borrowing base</t>
  </si>
  <si>
    <t>Base excess availability</t>
  </si>
  <si>
    <t>Base utilization</t>
  </si>
  <si>
    <t>Stress excess availability</t>
  </si>
  <si>
    <t>Stress EBITDA / interest</t>
  </si>
  <si>
    <t>Stress risk rating</t>
  </si>
  <si>
    <t>Risk Alerts</t>
  </si>
  <si>
    <t>Alert</t>
  </si>
  <si>
    <t>Status</t>
  </si>
  <si>
    <t>Comment</t>
  </si>
  <si>
    <t>Low excess availability</t>
  </si>
  <si>
    <t>Watch</t>
  </si>
  <si>
    <t>Stress excess availability below $500mm threshold.</t>
  </si>
  <si>
    <t>High past-due AR</t>
  </si>
  <si>
    <t>Illustrative AR aging has 90+ day and disputed ineligibles; monitor through BBC reporting.</t>
  </si>
  <si>
    <t>Inventory ineligibility</t>
  </si>
  <si>
    <t>Downside/stress eligibility falls materially as slow-moving/obsolete risk rises.</t>
  </si>
  <si>
    <t>Customer concentration</t>
  </si>
  <si>
    <t>Top two illustrative customers exceed 10% threshold.</t>
  </si>
  <si>
    <t>Borrowing base deficiency</t>
  </si>
  <si>
    <t>OK</t>
  </si>
  <si>
    <t>Stress case tests deficiency trigger.</t>
  </si>
  <si>
    <t>Cash-flow coverage pressure</t>
  </si>
  <si>
    <t>Stress EBITDA / interest below 2.0x watch threshold.</t>
  </si>
  <si>
    <t>Model Checks</t>
  </si>
  <si>
    <t>Check</t>
  </si>
  <si>
    <t>Actual</t>
  </si>
  <si>
    <t>Expected / Tolerance</t>
  </si>
  <si>
    <t>AR aging percentages sum to 100%</t>
  </si>
  <si>
    <t>Illustrative aging schedule tie-out.</t>
  </si>
  <si>
    <t>Inventory percentages sum to 100%</t>
  </si>
  <si>
    <t>Illustrative inventory schedule tie-out.</t>
  </si>
  <si>
    <t>Customer concentration sums to 100%</t>
  </si>
  <si>
    <t>Illustrative concentration schedule tie-out.</t>
  </si>
  <si>
    <t>Base excess availability positive</t>
  </si>
  <si>
    <t>Collateral support covers modeled ABL balance.</t>
  </si>
  <si>
    <t>Stress case risk rating produced</t>
  </si>
  <si>
    <t>High Risk</t>
  </si>
  <si>
    <t>Scenario rating formula is active.</t>
  </si>
  <si>
    <t>Interest fallback documented</t>
  </si>
  <si>
    <t>2024-2025 use InterestPaidNet where InterestExpense is unavailable in companyfacts.</t>
  </si>
  <si>
    <t>Overall model status</t>
  </si>
</sst>
</file>

<file path=xl/styles.xml><?xml version="1.0" encoding="utf-8"?>
<styleSheet xmlns="http://schemas.openxmlformats.org/spreadsheetml/2006/main">
  <numFmts count="6">
    <numFmt numFmtId="164" formatCode="#,##0;[Red](#,##0);-"/>
    <numFmt numFmtId="165" formatCode="$#,##0;[Red]($#,##0);-"/>
    <numFmt numFmtId="166" formatCode="0.0%;[Red](0.0%);-"/>
    <numFmt numFmtId="167" formatCode="0.0x;[Red](0.0x);-"/>
    <numFmt numFmtId="168" formatCode="$#,##0"/>
    <numFmt numFmtId="169" formatCode="0.0%"/>
  </numFmts>
  <fonts count="15">
    <font>
      <sz val="11"/>
      <color theme="1"/>
      <name val="Calibri"/>
      <family val="2"/>
      <scheme val="minor"/>
    </font>
    <font>
      <b/>
      <sz val="18"/>
      <color rgb="FF0B2545"/>
      <name val="Arial"/>
      <family val="2"/>
    </font>
    <font>
      <sz val="10"/>
      <color rgb="FF52616B"/>
      <name val="Arial"/>
      <family val="2"/>
    </font>
    <font>
      <b/>
      <sz val="11"/>
      <color rgb="FFFFFFFF"/>
      <name val="Arial"/>
      <family val="2"/>
    </font>
    <font>
      <b/>
      <sz val="11"/>
      <color rgb="FF0B2545"/>
      <name val="Arial"/>
      <family val="2"/>
    </font>
    <font>
      <sz val="9"/>
      <color rgb="FF52616B"/>
      <name val="Arial"/>
      <family val="2"/>
    </font>
    <font>
      <sz val="11"/>
      <color theme="1"/>
      <name val="Arial"/>
      <family val="2"/>
    </font>
    <font>
      <sz val="9"/>
      <color rgb="FF008000"/>
      <name val="Arial"/>
      <family val="2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b/>
      <sz val="11"/>
      <color rgb="FF7A5A00"/>
      <name val="Arial"/>
      <family val="2"/>
    </font>
    <font>
      <b/>
      <sz val="11"/>
      <color rgb="FF155724"/>
      <name val="Arial"/>
      <family val="2"/>
    </font>
    <font>
      <b/>
      <sz val="11"/>
      <color rgb="FF721C24"/>
      <name val="Arial"/>
      <family val="2"/>
    </font>
    <font>
      <b/>
      <sz val="16"/>
      <color rgb="FF0B2545"/>
      <name val="Arial"/>
      <family val="2"/>
    </font>
    <font>
      <sz val="8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6F78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wrapText="1"/>
    </xf>
    <xf numFmtId="0" fontId="3" fillId="4" borderId="0" xfId="0" applyFont="1" applyFill="1" applyAlignment="1">
      <alignment horizontal="center" vertical="center" wrapText="1"/>
    </xf>
    <xf numFmtId="164" fontId="6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165" fontId="8" fillId="0" borderId="1" xfId="0" applyNumberFormat="1" applyFont="1" applyBorder="1"/>
    <xf numFmtId="167" fontId="6" fillId="0" borderId="0" xfId="0" applyNumberFormat="1" applyFont="1"/>
    <xf numFmtId="164" fontId="8" fillId="0" borderId="1" xfId="0" applyNumberFormat="1" applyFont="1" applyBorder="1"/>
    <xf numFmtId="166" fontId="9" fillId="0" borderId="0" xfId="0" applyNumberFormat="1" applyFont="1"/>
    <xf numFmtId="165" fontId="9" fillId="0" borderId="0" xfId="0" applyNumberFormat="1" applyFont="1"/>
    <xf numFmtId="166" fontId="8" fillId="0" borderId="1" xfId="0" applyNumberFormat="1" applyFont="1" applyBorder="1"/>
    <xf numFmtId="0" fontId="10" fillId="5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2" fillId="7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8" fontId="13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Revenue and EBITDA Trend ($mm)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spPr>
            <a:ln w="28575">
              <a:solidFill>
                <a:srgbClr val="1F6F78"/>
              </a:solidFill>
            </a:ln>
          </c:spPr>
          <c:marker>
            <c:symbol val="none"/>
          </c:marker>
          <c:cat>
            <c:numRef>
              <c:f>'Historical Financials'!$B$4:$F$4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'Historical Financials'!$B$5:$F$5</c:f>
              <c:numCache>
                <c:formatCode>General</c:formatCode>
                <c:ptCount val="5"/>
                <c:pt idx="0">
                  <c:v>18870.51</c:v>
                </c:pt>
                <c:pt idx="1">
                  <c:v>22095.973</c:v>
                </c:pt>
                <c:pt idx="2">
                  <c:v>23090.61</c:v>
                </c:pt>
                <c:pt idx="3">
                  <c:v>23486.569</c:v>
                </c:pt>
                <c:pt idx="4">
                  <c:v>24300.141</c:v>
                </c:pt>
              </c:numCache>
            </c:numRef>
          </c:val>
        </c:ser>
        <c:ser>
          <c:idx val="1"/>
          <c:order val="1"/>
          <c:tx>
            <c:v>EBITDA proxy</c:v>
          </c:tx>
          <c:spPr>
            <a:ln w="28575">
              <a:solidFill>
                <a:srgbClr val="B7791F"/>
              </a:solidFill>
            </a:ln>
          </c:spPr>
          <c:marker>
            <c:symbol val="none"/>
          </c:marker>
          <c:cat>
            <c:numRef>
              <c:f>'Historical Financials'!$B$4:$F$4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'Historical Financials'!$B$10:$F$10</c:f>
              <c:numCache>
                <c:formatCode>General</c:formatCode>
                <c:ptCount val="5"/>
                <c:pt idx="0">
                  <c:v>1553.467</c:v>
                </c:pt>
                <c:pt idx="1">
                  <c:v>1994.308</c:v>
                </c:pt>
                <c:pt idx="2">
                  <c:v>2157.346</c:v>
                </c:pt>
                <c:pt idx="3">
                  <c:v>1708.9230000000002</c:v>
                </c:pt>
                <c:pt idx="4">
                  <c:v>781.5250000000001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Collateral Availability by Scenario ($mm)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AR availability</c:v>
          </c:tx>
          <c:spPr>
            <a:solidFill>
              <a:srgbClr val="1F6F78"/>
            </a:solidFill>
          </c:spPr>
          <c:cat>
            <c:strRef>
              <c:f>'Borrowing Base'!$B$4:$D$4</c:f>
              <c:strCache>
                <c:ptCount val="3"/>
                <c:pt idx="0">
                  <c:v>Base</c:v>
                </c:pt>
                <c:pt idx="1">
                  <c:v>Downside</c:v>
                </c:pt>
                <c:pt idx="2">
                  <c:v>Stress</c:v>
                </c:pt>
              </c:strCache>
            </c:strRef>
          </c:cat>
          <c:val>
            <c:numRef>
              <c:f>'Borrowing Base'!$B$9:$D$9</c:f>
              <c:numCache>
                <c:formatCode>General</c:formatCode>
                <c:ptCount val="3"/>
                <c:pt idx="0">
                  <c:v>1891.15578396</c:v>
                </c:pt>
                <c:pt idx="1">
                  <c:v>1565.6021498699997</c:v>
                </c:pt>
                <c:pt idx="2">
                  <c:v>1244.2687872000004</c:v>
                </c:pt>
              </c:numCache>
            </c:numRef>
          </c:val>
        </c:ser>
        <c:ser>
          <c:idx val="1"/>
          <c:order val="1"/>
          <c:tx>
            <c:v>Inventory availability</c:v>
          </c:tx>
          <c:spPr>
            <a:solidFill>
              <a:srgbClr val="5B8C5A"/>
            </a:solidFill>
          </c:spPr>
          <c:cat>
            <c:strRef>
              <c:f>'Borrowing Base'!$B$4:$D$4</c:f>
              <c:strCache>
                <c:ptCount val="3"/>
                <c:pt idx="0">
                  <c:v>Base</c:v>
                </c:pt>
                <c:pt idx="1">
                  <c:v>Downside</c:v>
                </c:pt>
                <c:pt idx="2">
                  <c:v>Stress</c:v>
                </c:pt>
              </c:strCache>
            </c:strRef>
          </c:cat>
          <c:val>
            <c:numRef>
              <c:f>'Borrowing Base'!$B$14:$D$14</c:f>
              <c:numCache>
                <c:formatCode>General</c:formatCode>
                <c:ptCount val="3"/>
                <c:pt idx="0">
                  <c:v>2322.53847</c:v>
                </c:pt>
                <c:pt idx="1">
                  <c:v>1918.1435364000004</c:v>
                </c:pt>
                <c:pt idx="2">
                  <c:v>1496.1398144000004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$#,##0" sourceLinked="0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Excess Availability by Scenario ($mm)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Excess availability</c:v>
          </c:tx>
          <c:spPr>
            <a:solidFill>
              <a:srgbClr val="0B2545"/>
            </a:solidFill>
          </c:spPr>
          <c:cat>
            <c:strRef>
              <c:f>'Borrowing Base'!$B$4:$D$4</c:f>
              <c:strCache>
                <c:ptCount val="3"/>
                <c:pt idx="0">
                  <c:v>Base</c:v>
                </c:pt>
                <c:pt idx="1">
                  <c:v>Downside</c:v>
                </c:pt>
                <c:pt idx="2">
                  <c:v>Stress</c:v>
                </c:pt>
              </c:strCache>
            </c:strRef>
          </c:cat>
          <c:val>
            <c:numRef>
              <c:f>'Borrowing Base'!$B$23:$D$23</c:f>
              <c:numCache>
                <c:formatCode>General</c:formatCode>
                <c:ptCount val="3"/>
                <c:pt idx="0">
                  <c:v>2238.7237316600003</c:v>
                </c:pt>
                <c:pt idx="1">
                  <c:v>1137.60273407</c:v>
                </c:pt>
                <c:pt idx="2">
                  <c:v>27.598003600000993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$#,##0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5 Customer AR Exposure ($mm)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AR balance</c:v>
          </c:tx>
          <c:spPr>
            <a:solidFill>
              <a:srgbClr val="8B5E34"/>
            </a:solidFill>
          </c:spPr>
          <c:cat>
            <c:strRef>
              <c:f>'Customer Concentration'!$A$7:$A$11</c:f>
              <c:strCache>
                <c:ptCount val="5"/>
                <c:pt idx="0">
                  <c:v>Customer A</c:v>
                </c:pt>
                <c:pt idx="1">
                  <c:v>Customer B</c:v>
                </c:pt>
                <c:pt idx="2">
                  <c:v>Customer C</c:v>
                </c:pt>
                <c:pt idx="3">
                  <c:v>Customer D</c:v>
                </c:pt>
                <c:pt idx="4">
                  <c:v>Customer E</c:v>
                </c:pt>
              </c:strCache>
            </c:strRef>
          </c:cat>
          <c:val>
            <c:numRef>
              <c:f>'Customer Concentration'!$C$7:$C$11</c:f>
              <c:numCache>
                <c:formatCode>General</c:formatCode>
                <c:ptCount val="5"/>
                <c:pt idx="0">
                  <c:v>331.93146</c:v>
                </c:pt>
                <c:pt idx="1">
                  <c:v>260.80329</c:v>
                </c:pt>
                <c:pt idx="2">
                  <c:v>189.67512</c:v>
                </c:pt>
                <c:pt idx="3">
                  <c:v>165.96573</c:v>
                </c:pt>
                <c:pt idx="4">
                  <c:v>142.25634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$#,##0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11</xdr:col>
      <xdr:colOff>228600</xdr:colOff>
      <xdr:row>24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6</xdr:col>
      <xdr:colOff>819150</xdr:colOff>
      <xdr:row>33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10</xdr:col>
      <xdr:colOff>819150</xdr:colOff>
      <xdr:row>33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14</xdr:col>
      <xdr:colOff>304800</xdr:colOff>
      <xdr:row>33</xdr:row>
      <xdr:rowOff>19050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ec.gov/Archives/edgar/data/40987/000004098726000003/gpc-20251231.htm" TargetMode="External"/><Relationship Id="rId2" Type="http://schemas.openxmlformats.org/officeDocument/2006/relationships/hyperlink" Target="https://www.sec.gov/Archives/edgar/data/40987/000004098726000017/gpc-20260331.ht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sec.gov/api/xbrl/companyfacts/CIK0000040987.json" TargetMode="External"/><Relationship Id="rId2" Type="http://schemas.openxmlformats.org/officeDocument/2006/relationships/hyperlink" Target="https://data.sec.gov/submissions/CIK0000040987.json" TargetMode="External"/><Relationship Id="rId3" Type="http://schemas.openxmlformats.org/officeDocument/2006/relationships/hyperlink" Target="https://www.sec.gov/Archives/edgar/data/40987/000004098724000024/gpc-20231231.htm" TargetMode="External"/><Relationship Id="rId4" Type="http://schemas.openxmlformats.org/officeDocument/2006/relationships/hyperlink" Target="https://www.sec.gov/Archives/edgar/data/40987/000004098725000026/gpc-20241231.htm" TargetMode="External"/><Relationship Id="rId5" Type="http://schemas.openxmlformats.org/officeDocument/2006/relationships/hyperlink" Target="https://www.sec.gov/Archives/edgar/data/40987/000004098726000003/gpc-20251231.htm" TargetMode="External"/><Relationship Id="rId6" Type="http://schemas.openxmlformats.org/officeDocument/2006/relationships/hyperlink" Target="https://www.sec.gov/Archives/edgar/data/40987/000004098726000003/gpc-20251231.htm" TargetMode="External"/><Relationship Id="rId7" Type="http://schemas.openxmlformats.org/officeDocument/2006/relationships/hyperlink" Target="https://www.sec.gov/Archives/edgar/data/40987/000004098726000003/gpc-20251231.htm" TargetMode="External"/><Relationship Id="rId8" Type="http://schemas.openxmlformats.org/officeDocument/2006/relationships/hyperlink" Target="https://www.sec.gov/Archives/edgar/data/40987/000004098724000024/gpc-20231231.htm" TargetMode="External"/><Relationship Id="rId9" Type="http://schemas.openxmlformats.org/officeDocument/2006/relationships/hyperlink" Target="https://www.sec.gov/Archives/edgar/data/40987/000004098725000026/gpc-20241231.htm" TargetMode="External"/><Relationship Id="rId10" Type="http://schemas.openxmlformats.org/officeDocument/2006/relationships/hyperlink" Target="https://www.sec.gov/Archives/edgar/data/40987/000004098726000003/gpc-20251231.htm" TargetMode="External"/><Relationship Id="rId11" Type="http://schemas.openxmlformats.org/officeDocument/2006/relationships/hyperlink" Target="https://www.sec.gov/Archives/edgar/data/40987/000004098726000003/gpc-20251231.htm" TargetMode="External"/><Relationship Id="rId12" Type="http://schemas.openxmlformats.org/officeDocument/2006/relationships/hyperlink" Target="https://www.sec.gov/Archives/edgar/data/40987/000004098726000003/gpc-20251231.htm" TargetMode="External"/><Relationship Id="rId13" Type="http://schemas.openxmlformats.org/officeDocument/2006/relationships/hyperlink" Target="https://www.sec.gov/Archives/edgar/data/40987/000004098724000024/gpc-20231231.htm" TargetMode="External"/><Relationship Id="rId14" Type="http://schemas.openxmlformats.org/officeDocument/2006/relationships/hyperlink" Target="https://www.sec.gov/Archives/edgar/data/40987/000004098725000026/gpc-20241231.htm" TargetMode="External"/><Relationship Id="rId15" Type="http://schemas.openxmlformats.org/officeDocument/2006/relationships/hyperlink" Target="https://www.sec.gov/Archives/edgar/data/40987/000004098726000003/gpc-20251231.htm" TargetMode="External"/><Relationship Id="rId16" Type="http://schemas.openxmlformats.org/officeDocument/2006/relationships/hyperlink" Target="https://www.sec.gov/Archives/edgar/data/40987/000004098726000003/gpc-20251231.htm" TargetMode="External"/><Relationship Id="rId17" Type="http://schemas.openxmlformats.org/officeDocument/2006/relationships/hyperlink" Target="https://www.sec.gov/Archives/edgar/data/40987/000004098726000003/gpc-20251231.htm" TargetMode="External"/><Relationship Id="rId18" Type="http://schemas.openxmlformats.org/officeDocument/2006/relationships/hyperlink" Target="https://www.sec.gov/Archives/edgar/data/40987/000004098724000024/gpc-20231231.htm" TargetMode="External"/><Relationship Id="rId19" Type="http://schemas.openxmlformats.org/officeDocument/2006/relationships/hyperlink" Target="https://www.sec.gov/Archives/edgar/data/40987/000004098725000026/gpc-20241231.htm" TargetMode="External"/><Relationship Id="rId20" Type="http://schemas.openxmlformats.org/officeDocument/2006/relationships/hyperlink" Target="https://www.sec.gov/Archives/edgar/data/40987/000004098726000003/gpc-20251231.htm" TargetMode="External"/><Relationship Id="rId21" Type="http://schemas.openxmlformats.org/officeDocument/2006/relationships/hyperlink" Target="https://www.sec.gov/Archives/edgar/data/40987/000004098726000003/gpc-20251231.htm" TargetMode="External"/><Relationship Id="rId22" Type="http://schemas.openxmlformats.org/officeDocument/2006/relationships/hyperlink" Target="https://www.sec.gov/Archives/edgar/data/40987/000004098726000003/gpc-20251231.htm" TargetMode="External"/><Relationship Id="rId23" Type="http://schemas.openxmlformats.org/officeDocument/2006/relationships/hyperlink" Target="https://www.sec.gov/Archives/edgar/data/40987/000004098724000024/gpc-20231231.htm" TargetMode="External"/><Relationship Id="rId24" Type="http://schemas.openxmlformats.org/officeDocument/2006/relationships/hyperlink" Target="https://www.sec.gov/Archives/edgar/data/40987/000004098725000026/gpc-20241231.htm" TargetMode="External"/><Relationship Id="rId25" Type="http://schemas.openxmlformats.org/officeDocument/2006/relationships/hyperlink" Target="https://www.sec.gov/Archives/edgar/data/40987/000004098726000003/gpc-20251231.htm" TargetMode="External"/><Relationship Id="rId26" Type="http://schemas.openxmlformats.org/officeDocument/2006/relationships/hyperlink" Target="https://www.sec.gov/Archives/edgar/data/40987/000004098726000003/gpc-20251231.htm" TargetMode="External"/><Relationship Id="rId27" Type="http://schemas.openxmlformats.org/officeDocument/2006/relationships/hyperlink" Target="https://www.sec.gov/Archives/edgar/data/40987/000004098726000003/gpc-20251231.htm" TargetMode="External"/><Relationship Id="rId28" Type="http://schemas.openxmlformats.org/officeDocument/2006/relationships/hyperlink" Target="https://www.sec.gov/Archives/edgar/data/40987/000004098724000024/gpc-20231231.htm" TargetMode="External"/><Relationship Id="rId29" Type="http://schemas.openxmlformats.org/officeDocument/2006/relationships/hyperlink" Target="https://www.sec.gov/Archives/edgar/data/40987/000004098725000026/gpc-20241231.htm" TargetMode="External"/><Relationship Id="rId30" Type="http://schemas.openxmlformats.org/officeDocument/2006/relationships/hyperlink" Target="https://www.sec.gov/Archives/edgar/data/40987/000004098726000003/gpc-20251231.htm" TargetMode="External"/><Relationship Id="rId31" Type="http://schemas.openxmlformats.org/officeDocument/2006/relationships/hyperlink" Target="https://www.sec.gov/Archives/edgar/data/40987/000004098726000003/gpc-20251231.htm" TargetMode="External"/><Relationship Id="rId32" Type="http://schemas.openxmlformats.org/officeDocument/2006/relationships/hyperlink" Target="https://www.sec.gov/Archives/edgar/data/40987/000004098726000003/gpc-20251231.htm" TargetMode="External"/><Relationship Id="rId33" Type="http://schemas.openxmlformats.org/officeDocument/2006/relationships/hyperlink" Target="https://www.sec.gov/Archives/edgar/data/40987/000004098724000024/gpc-20231231.htm" TargetMode="External"/><Relationship Id="rId34" Type="http://schemas.openxmlformats.org/officeDocument/2006/relationships/hyperlink" Target="https://www.sec.gov/Archives/edgar/data/40987/000004098724000024/gpc-20231231.htm" TargetMode="External"/><Relationship Id="rId35" Type="http://schemas.openxmlformats.org/officeDocument/2006/relationships/hyperlink" Target="https://www.sec.gov/Archives/edgar/data/40987/000004098724000024/gpc-20231231.htm" TargetMode="External"/><Relationship Id="rId36" Type="http://schemas.openxmlformats.org/officeDocument/2006/relationships/hyperlink" Target="https://www.sec.gov/Archives/edgar/data/40987/000004098724000024/gpc-20231231.htm" TargetMode="External"/><Relationship Id="rId37" Type="http://schemas.openxmlformats.org/officeDocument/2006/relationships/hyperlink" Target="https://www.sec.gov/Archives/edgar/data/40987/000004098725000026/gpc-20241231.htm" TargetMode="External"/><Relationship Id="rId38" Type="http://schemas.openxmlformats.org/officeDocument/2006/relationships/hyperlink" Target="https://www.sec.gov/Archives/edgar/data/40987/000004098726000003/gpc-20251231.htm" TargetMode="External"/><Relationship Id="rId39" Type="http://schemas.openxmlformats.org/officeDocument/2006/relationships/hyperlink" Target="https://www.sec.gov/Archives/edgar/data/40987/000004098726000003/gpc-20251231.htm" TargetMode="External"/><Relationship Id="rId40" Type="http://schemas.openxmlformats.org/officeDocument/2006/relationships/hyperlink" Target="https://www.sec.gov/Archives/edgar/data/40987/000004098726000003/gpc-20251231.htm" TargetMode="External"/><Relationship Id="rId41" Type="http://schemas.openxmlformats.org/officeDocument/2006/relationships/hyperlink" Target="https://www.sec.gov/Archives/edgar/data/40987/000004098724000024/gpc-20231231.htm" TargetMode="External"/><Relationship Id="rId42" Type="http://schemas.openxmlformats.org/officeDocument/2006/relationships/hyperlink" Target="https://www.sec.gov/Archives/edgar/data/40987/000004098725000026/gpc-20241231.htm" TargetMode="External"/><Relationship Id="rId43" Type="http://schemas.openxmlformats.org/officeDocument/2006/relationships/hyperlink" Target="https://www.sec.gov/Archives/edgar/data/40987/000004098726000003/gpc-20251231.htm" TargetMode="External"/><Relationship Id="rId44" Type="http://schemas.openxmlformats.org/officeDocument/2006/relationships/hyperlink" Target="https://www.sec.gov/Archives/edgar/data/40987/000004098726000003/gpc-20251231.htm" TargetMode="External"/><Relationship Id="rId45" Type="http://schemas.openxmlformats.org/officeDocument/2006/relationships/hyperlink" Target="https://www.sec.gov/Archives/edgar/data/40987/000004098726000003/gpc-20251231.htm" TargetMode="External"/><Relationship Id="rId46" Type="http://schemas.openxmlformats.org/officeDocument/2006/relationships/hyperlink" Target="https://www.sec.gov/Archives/edgar/data/40987/000004098725000026/gpc-20241231.htm" TargetMode="External"/><Relationship Id="rId47" Type="http://schemas.openxmlformats.org/officeDocument/2006/relationships/hyperlink" Target="https://www.sec.gov/Archives/edgar/data/40987/000004098726000003/gpc-20251231.htm" TargetMode="External"/><Relationship Id="rId48" Type="http://schemas.openxmlformats.org/officeDocument/2006/relationships/hyperlink" Target="https://www.sec.gov/Archives/edgar/data/40987/000004098726000003/gpc-20251231.htm" TargetMode="External"/><Relationship Id="rId49" Type="http://schemas.openxmlformats.org/officeDocument/2006/relationships/hyperlink" Target="https://www.sec.gov/Archives/edgar/data/40987/000004098726000003/gpc-20251231.htm" TargetMode="External"/><Relationship Id="rId50" Type="http://schemas.openxmlformats.org/officeDocument/2006/relationships/hyperlink" Target="https://www.sec.gov/Archives/edgar/data/40987/000004098726000003/gpc-20251231.htm" TargetMode="External"/><Relationship Id="rId51" Type="http://schemas.openxmlformats.org/officeDocument/2006/relationships/hyperlink" Target="https://www.sec.gov/Archives/edgar/data/40987/000004098723000008/gpc-20221231.htm" TargetMode="External"/><Relationship Id="rId52" Type="http://schemas.openxmlformats.org/officeDocument/2006/relationships/hyperlink" Target="https://www.sec.gov/Archives/edgar/data/40987/000004098724000024/gpc-20231231.htm" TargetMode="External"/><Relationship Id="rId53" Type="http://schemas.openxmlformats.org/officeDocument/2006/relationships/hyperlink" Target="https://www.sec.gov/Archives/edgar/data/40987/000004098725000026/gpc-20241231.htm" TargetMode="External"/><Relationship Id="rId54" Type="http://schemas.openxmlformats.org/officeDocument/2006/relationships/hyperlink" Target="https://www.sec.gov/Archives/edgar/data/40987/000004098726000003/gpc-20251231.htm" TargetMode="External"/><Relationship Id="rId55" Type="http://schemas.openxmlformats.org/officeDocument/2006/relationships/hyperlink" Target="https://www.sec.gov/Archives/edgar/data/40987/000004098726000003/gpc-20251231.htm" TargetMode="External"/><Relationship Id="rId56" Type="http://schemas.openxmlformats.org/officeDocument/2006/relationships/hyperlink" Target="https://www.sec.gov/Archives/edgar/data/40987/000004098723000008/gpc-20221231.htm" TargetMode="External"/><Relationship Id="rId57" Type="http://schemas.openxmlformats.org/officeDocument/2006/relationships/hyperlink" Target="https://www.sec.gov/Archives/edgar/data/40987/000004098724000024/gpc-20231231.htm" TargetMode="External"/><Relationship Id="rId58" Type="http://schemas.openxmlformats.org/officeDocument/2006/relationships/hyperlink" Target="https://www.sec.gov/Archives/edgar/data/40987/000004098725000026/gpc-20241231.htm" TargetMode="External"/><Relationship Id="rId59" Type="http://schemas.openxmlformats.org/officeDocument/2006/relationships/hyperlink" Target="https://www.sec.gov/Archives/edgar/data/40987/000004098726000003/gpc-20251231.htm" TargetMode="External"/><Relationship Id="rId60" Type="http://schemas.openxmlformats.org/officeDocument/2006/relationships/hyperlink" Target="https://www.sec.gov/Archives/edgar/data/40987/000004098726000003/gpc-20251231.htm" TargetMode="External"/><Relationship Id="rId61" Type="http://schemas.openxmlformats.org/officeDocument/2006/relationships/hyperlink" Target="https://www.sec.gov/Archives/edgar/data/40987/000004098723000008/gpc-20221231.htm" TargetMode="External"/><Relationship Id="rId62" Type="http://schemas.openxmlformats.org/officeDocument/2006/relationships/hyperlink" Target="https://www.sec.gov/Archives/edgar/data/40987/000004098724000024/gpc-20231231.htm" TargetMode="External"/><Relationship Id="rId63" Type="http://schemas.openxmlformats.org/officeDocument/2006/relationships/hyperlink" Target="https://www.sec.gov/Archives/edgar/data/40987/000004098725000026/gpc-20241231.htm" TargetMode="External"/><Relationship Id="rId64" Type="http://schemas.openxmlformats.org/officeDocument/2006/relationships/hyperlink" Target="https://www.sec.gov/Archives/edgar/data/40987/000004098726000003/gpc-20251231.htm" TargetMode="External"/><Relationship Id="rId65" Type="http://schemas.openxmlformats.org/officeDocument/2006/relationships/hyperlink" Target="https://www.sec.gov/Archives/edgar/data/40987/000004098726000003/gpc-20251231.htm" TargetMode="External"/><Relationship Id="rId66" Type="http://schemas.openxmlformats.org/officeDocument/2006/relationships/hyperlink" Target="https://www.sec.gov/Archives/edgar/data/40987/000004098723000008/gpc-20221231.htm" TargetMode="External"/><Relationship Id="rId67" Type="http://schemas.openxmlformats.org/officeDocument/2006/relationships/hyperlink" Target="https://www.sec.gov/Archives/edgar/data/40987/000004098724000024/gpc-20231231.htm" TargetMode="External"/><Relationship Id="rId68" Type="http://schemas.openxmlformats.org/officeDocument/2006/relationships/hyperlink" Target="https://www.sec.gov/Archives/edgar/data/40987/000004098725000026/gpc-20241231.htm" TargetMode="External"/><Relationship Id="rId69" Type="http://schemas.openxmlformats.org/officeDocument/2006/relationships/hyperlink" Target="https://www.sec.gov/Archives/edgar/data/40987/000004098726000003/gpc-20251231.htm" TargetMode="External"/><Relationship Id="rId70" Type="http://schemas.openxmlformats.org/officeDocument/2006/relationships/hyperlink" Target="https://www.sec.gov/Archives/edgar/data/40987/000004098726000003/gpc-20251231.htm" TargetMode="External"/><Relationship Id="rId71" Type="http://schemas.openxmlformats.org/officeDocument/2006/relationships/hyperlink" Target="https://www.sec.gov/Archives/edgar/data/40987/000004098726000003/gpc-20251231.htm" TargetMode="External"/><Relationship Id="rId72" Type="http://schemas.openxmlformats.org/officeDocument/2006/relationships/hyperlink" Target="https://www.sec.gov/Archives/edgar/data/40987/000004098726000003/gpc-20251231.htm" TargetMode="External"/><Relationship Id="rId73" Type="http://schemas.openxmlformats.org/officeDocument/2006/relationships/hyperlink" Target="https://www.sec.gov/Archives/edgar/data/40987/000004098725000026/gpc-20241231.htm" TargetMode="External"/><Relationship Id="rId74" Type="http://schemas.openxmlformats.org/officeDocument/2006/relationships/hyperlink" Target="https://www.sec.gov/Archives/edgar/data/40987/000004098726000003/gpc-20251231.htm" TargetMode="External"/><Relationship Id="rId75" Type="http://schemas.openxmlformats.org/officeDocument/2006/relationships/hyperlink" Target="https://www.sec.gov/Archives/edgar/data/40987/000004098726000003/gpc-20251231.htm" TargetMode="External"/><Relationship Id="rId76" Type="http://schemas.openxmlformats.org/officeDocument/2006/relationships/hyperlink" Target="https://www.sec.gov/Archives/edgar/data/40987/000004098723000008/gpc-20221231.htm" TargetMode="External"/><Relationship Id="rId77" Type="http://schemas.openxmlformats.org/officeDocument/2006/relationships/hyperlink" Target="https://www.sec.gov/Archives/edgar/data/40987/000004098724000024/gpc-20231231.htm" TargetMode="External"/><Relationship Id="rId78" Type="http://schemas.openxmlformats.org/officeDocument/2006/relationships/hyperlink" Target="https://www.sec.gov/Archives/edgar/data/40987/000004098725000026/gpc-20241231.htm" TargetMode="External"/><Relationship Id="rId79" Type="http://schemas.openxmlformats.org/officeDocument/2006/relationships/hyperlink" Target="https://www.sec.gov/Archives/edgar/data/40987/000004098726000003/gpc-20251231.htm" TargetMode="External"/><Relationship Id="rId80" Type="http://schemas.openxmlformats.org/officeDocument/2006/relationships/hyperlink" Target="https://www.sec.gov/Archives/edgar/data/40987/000004098726000003/gpc-20251231.htm" TargetMode="External"/><Relationship Id="rId81" Type="http://schemas.openxmlformats.org/officeDocument/2006/relationships/hyperlink" Target="https://www.sec.gov/Archives/edgar/data/40987/000004098723000008/gpc-20221231.htm" TargetMode="External"/><Relationship Id="rId82" Type="http://schemas.openxmlformats.org/officeDocument/2006/relationships/hyperlink" Target="https://www.sec.gov/Archives/edgar/data/40987/000004098724000024/gpc-20231231.htm" TargetMode="External"/><Relationship Id="rId83" Type="http://schemas.openxmlformats.org/officeDocument/2006/relationships/hyperlink" Target="https://www.sec.gov/Archives/edgar/data/40987/000004098725000026/gpc-20241231.htm" TargetMode="External"/><Relationship Id="rId84" Type="http://schemas.openxmlformats.org/officeDocument/2006/relationships/hyperlink" Target="https://www.sec.gov/Archives/edgar/data/40987/000004098726000003/gpc-20251231.htm" TargetMode="External"/><Relationship Id="rId85" Type="http://schemas.openxmlformats.org/officeDocument/2006/relationships/hyperlink" Target="https://www.sec.gov/Archives/edgar/data/40987/000004098726000003/gpc-20251231.htm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5"/>
  <sheetViews>
    <sheetView showGridLines="0" tabSelected="1" zoomScale="90" zoomScaleNormal="90" workbookViewId="0"/>
  </sheetViews>
  <sheetFormatPr defaultRowHeight="15"/>
  <cols>
    <col min="1" max="1" width="3.7109375" customWidth="1"/>
    <col min="2" max="2" width="42.7109375" customWidth="1"/>
    <col min="3" max="8" width="15.7109375" customWidth="1"/>
  </cols>
  <sheetData>
    <row r="2" spans="2:8">
      <c r="B2" s="1" t="s">
        <v>0</v>
      </c>
    </row>
    <row r="3" spans="2:8">
      <c r="B3" s="2" t="s">
        <v>1</v>
      </c>
    </row>
    <row r="5" spans="2:8">
      <c r="B5" s="3" t="s">
        <v>2</v>
      </c>
      <c r="C5" s="3"/>
      <c r="D5" s="3"/>
      <c r="E5" s="3"/>
      <c r="F5" s="3"/>
      <c r="G5" s="3"/>
      <c r="H5" s="3"/>
    </row>
    <row r="6" spans="2:8" ht="30" customHeight="1">
      <c r="B6" s="4" t="s">
        <v>3</v>
      </c>
      <c r="C6" s="5" t="s">
        <v>4</v>
      </c>
      <c r="D6" s="5"/>
      <c r="E6" s="5"/>
      <c r="F6" s="5"/>
      <c r="G6" s="5"/>
      <c r="H6" s="5"/>
    </row>
    <row r="7" spans="2:8" ht="30" customHeight="1">
      <c r="B7" s="4"/>
      <c r="C7" s="5"/>
      <c r="D7" s="5"/>
      <c r="E7" s="5"/>
      <c r="F7" s="5"/>
      <c r="G7" s="5"/>
      <c r="H7" s="5"/>
    </row>
    <row r="8" spans="2:8" ht="30" customHeight="1">
      <c r="B8" s="4" t="s">
        <v>5</v>
      </c>
      <c r="C8" s="5"/>
      <c r="D8" s="5"/>
      <c r="E8" s="5"/>
      <c r="F8" s="5"/>
      <c r="G8" s="5"/>
      <c r="H8" s="5"/>
    </row>
    <row r="10" spans="2:8">
      <c r="B10" s="6" t="s">
        <v>6</v>
      </c>
      <c r="C10" s="5" t="s">
        <v>7</v>
      </c>
      <c r="D10" s="5"/>
      <c r="E10" s="5"/>
      <c r="F10" s="5"/>
      <c r="G10" s="5"/>
      <c r="H10" s="5"/>
    </row>
    <row r="11" spans="2:8">
      <c r="B11" s="6" t="s">
        <v>8</v>
      </c>
      <c r="C11" s="5" t="s">
        <v>9</v>
      </c>
      <c r="D11" s="5"/>
      <c r="E11" s="5"/>
      <c r="F11" s="5"/>
      <c r="G11" s="5"/>
      <c r="H11" s="5"/>
    </row>
    <row r="12" spans="2:8">
      <c r="B12" s="6" t="s">
        <v>10</v>
      </c>
      <c r="C12" s="5" t="s">
        <v>11</v>
      </c>
      <c r="D12" s="5"/>
      <c r="E12" s="5"/>
      <c r="F12" s="5"/>
      <c r="G12" s="5"/>
      <c r="H12" s="5"/>
    </row>
    <row r="13" spans="2:8">
      <c r="B13" s="6" t="s">
        <v>12</v>
      </c>
      <c r="C13" s="5" t="s">
        <v>13</v>
      </c>
      <c r="D13" s="5"/>
      <c r="E13" s="5"/>
      <c r="F13" s="5"/>
      <c r="G13" s="5"/>
      <c r="H13" s="5"/>
    </row>
    <row r="14" spans="2:8">
      <c r="B14" s="6" t="s">
        <v>14</v>
      </c>
      <c r="C14" s="5" t="s">
        <v>15</v>
      </c>
      <c r="D14" s="5"/>
      <c r="E14" s="5"/>
      <c r="F14" s="5"/>
      <c r="G14" s="5"/>
      <c r="H14" s="5"/>
    </row>
    <row r="15" spans="2:8">
      <c r="B15" s="6" t="s">
        <v>16</v>
      </c>
      <c r="C15" s="5" t="s">
        <v>17</v>
      </c>
      <c r="D15" s="5"/>
      <c r="E15" s="5"/>
      <c r="F15" s="5"/>
      <c r="G15" s="5"/>
      <c r="H15" s="5"/>
    </row>
    <row r="16" spans="2:8">
      <c r="B16" s="6" t="s">
        <v>18</v>
      </c>
      <c r="C16" s="5" t="s">
        <v>19</v>
      </c>
      <c r="D16" s="5"/>
      <c r="E16" s="5"/>
      <c r="F16" s="5"/>
      <c r="G16" s="5"/>
      <c r="H16" s="5"/>
    </row>
    <row r="17" spans="2:8">
      <c r="B17" s="6" t="s">
        <v>20</v>
      </c>
      <c r="C17" s="5" t="s">
        <v>21</v>
      </c>
      <c r="D17" s="5"/>
      <c r="E17" s="5"/>
      <c r="F17" s="5"/>
      <c r="G17" s="5"/>
      <c r="H17" s="5"/>
    </row>
    <row r="20" spans="2:8">
      <c r="B20" s="4" t="s">
        <v>22</v>
      </c>
      <c r="C20" s="5" t="s">
        <v>23</v>
      </c>
      <c r="D20" s="5"/>
      <c r="E20" s="5"/>
      <c r="F20" s="5"/>
      <c r="G20" s="5"/>
      <c r="H20" s="5"/>
    </row>
    <row r="21" spans="2:8">
      <c r="C21" s="5"/>
      <c r="D21" s="5"/>
      <c r="E21" s="5"/>
      <c r="F21" s="5"/>
      <c r="G21" s="5"/>
      <c r="H21" s="5"/>
    </row>
    <row r="22" spans="2:8">
      <c r="C22" s="5"/>
      <c r="D22" s="5"/>
      <c r="E22" s="5"/>
      <c r="F22" s="5"/>
      <c r="G22" s="5"/>
      <c r="H22" s="5"/>
    </row>
    <row r="24" spans="2:8">
      <c r="B24" s="6" t="s">
        <v>24</v>
      </c>
      <c r="C24" s="7" t="s">
        <v>25</v>
      </c>
    </row>
    <row r="25" spans="2:8">
      <c r="B25" s="6" t="s">
        <v>26</v>
      </c>
      <c r="C25" s="7" t="s">
        <v>27</v>
      </c>
    </row>
  </sheetData>
  <mergeCells count="12">
    <mergeCell ref="B5:H5"/>
    <mergeCell ref="B6:B8"/>
    <mergeCell ref="C6:H8"/>
    <mergeCell ref="C10:H10"/>
    <mergeCell ref="C11:H11"/>
    <mergeCell ref="C12:H12"/>
    <mergeCell ref="C13:H13"/>
    <mergeCell ref="C14:H14"/>
    <mergeCell ref="C15:H15"/>
    <mergeCell ref="C16:H16"/>
    <mergeCell ref="C17:H17"/>
    <mergeCell ref="C20:H22"/>
  </mergeCells>
  <hyperlinks>
    <hyperlink ref="C24" r:id="rId1"/>
    <hyperlink ref="C2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3"/>
  <sheetViews>
    <sheetView showGridLines="0" zoomScale="90" zoomScaleNormal="90" workbookViewId="0"/>
  </sheetViews>
  <sheetFormatPr defaultRowHeight="15"/>
  <cols>
    <col min="1" max="1" width="18.7109375" customWidth="1"/>
    <col min="2" max="3" width="24.7109375" customWidth="1"/>
    <col min="4" max="4" width="48.7109375" customWidth="1"/>
    <col min="5" max="7" width="18.7109375" customWidth="1"/>
    <col min="8" max="8" width="80.7109375" customWidth="1"/>
  </cols>
  <sheetData>
    <row r="1" spans="1:8">
      <c r="A1" s="1" t="s">
        <v>28</v>
      </c>
    </row>
    <row r="3" spans="1:8">
      <c r="A3" s="6" t="s">
        <v>29</v>
      </c>
      <c r="B3" s="6" t="s">
        <v>30</v>
      </c>
    </row>
    <row r="4" spans="1:8">
      <c r="A4" s="6" t="s">
        <v>31</v>
      </c>
      <c r="B4" s="6" t="s">
        <v>32</v>
      </c>
    </row>
    <row r="5" spans="1:8">
      <c r="A5" s="6" t="s">
        <v>33</v>
      </c>
      <c r="B5" s="6" t="s">
        <v>34</v>
      </c>
    </row>
    <row r="7" spans="1:8">
      <c r="A7" s="7" t="s">
        <v>35</v>
      </c>
    </row>
    <row r="8" spans="1:8">
      <c r="A8" s="7" t="s">
        <v>36</v>
      </c>
    </row>
    <row r="10" spans="1:8">
      <c r="A10" s="8" t="s">
        <v>37</v>
      </c>
      <c r="B10" s="8" t="s">
        <v>38</v>
      </c>
      <c r="C10" s="8" t="s">
        <v>39</v>
      </c>
      <c r="D10" s="8" t="s">
        <v>40</v>
      </c>
      <c r="E10" s="8" t="s">
        <v>41</v>
      </c>
      <c r="F10" s="8" t="s">
        <v>42</v>
      </c>
      <c r="G10" s="8" t="s">
        <v>43</v>
      </c>
      <c r="H10" s="8" t="s">
        <v>44</v>
      </c>
    </row>
    <row r="11" spans="1:8">
      <c r="A11" s="6" t="s">
        <v>45</v>
      </c>
      <c r="B11" s="9">
        <v>2021</v>
      </c>
      <c r="C11" s="10">
        <v>18870.51</v>
      </c>
      <c r="D11" s="6" t="s">
        <v>46</v>
      </c>
      <c r="E11" s="6" t="s">
        <v>47</v>
      </c>
      <c r="F11" s="6" t="s">
        <v>48</v>
      </c>
      <c r="G11" s="6" t="s">
        <v>49</v>
      </c>
      <c r="H11" s="7" t="s">
        <v>50</v>
      </c>
    </row>
    <row r="12" spans="1:8">
      <c r="A12" s="6" t="s">
        <v>45</v>
      </c>
      <c r="B12" s="9">
        <v>2022</v>
      </c>
      <c r="C12" s="10">
        <v>22095.973</v>
      </c>
      <c r="D12" s="6" t="s">
        <v>46</v>
      </c>
      <c r="E12" s="6" t="s">
        <v>47</v>
      </c>
      <c r="F12" s="6" t="s">
        <v>51</v>
      </c>
      <c r="G12" s="6" t="s">
        <v>52</v>
      </c>
      <c r="H12" s="7" t="s">
        <v>50</v>
      </c>
    </row>
    <row r="13" spans="1:8">
      <c r="A13" s="6" t="s">
        <v>45</v>
      </c>
      <c r="B13" s="9">
        <v>2023</v>
      </c>
      <c r="C13" s="10">
        <v>23090.61</v>
      </c>
      <c r="D13" s="6" t="s">
        <v>46</v>
      </c>
      <c r="E13" s="6" t="s">
        <v>47</v>
      </c>
      <c r="F13" s="6" t="s">
        <v>53</v>
      </c>
      <c r="G13" s="6" t="s">
        <v>54</v>
      </c>
      <c r="H13" s="7" t="s">
        <v>50</v>
      </c>
    </row>
    <row r="14" spans="1:8">
      <c r="A14" s="6" t="s">
        <v>45</v>
      </c>
      <c r="B14" s="9">
        <v>2024</v>
      </c>
      <c r="C14" s="10">
        <v>23486.569</v>
      </c>
      <c r="D14" s="6" t="s">
        <v>46</v>
      </c>
      <c r="E14" s="6" t="s">
        <v>47</v>
      </c>
      <c r="F14" s="6" t="s">
        <v>53</v>
      </c>
      <c r="G14" s="6" t="s">
        <v>54</v>
      </c>
      <c r="H14" s="7" t="s">
        <v>50</v>
      </c>
    </row>
    <row r="15" spans="1:8">
      <c r="A15" s="6" t="s">
        <v>45</v>
      </c>
      <c r="B15" s="9">
        <v>2025</v>
      </c>
      <c r="C15" s="10">
        <v>24300.141</v>
      </c>
      <c r="D15" s="6" t="s">
        <v>46</v>
      </c>
      <c r="E15" s="6" t="s">
        <v>47</v>
      </c>
      <c r="F15" s="6" t="s">
        <v>53</v>
      </c>
      <c r="G15" s="6" t="s">
        <v>54</v>
      </c>
      <c r="H15" s="7" t="s">
        <v>50</v>
      </c>
    </row>
    <row r="16" spans="1:8">
      <c r="A16" s="6" t="s">
        <v>55</v>
      </c>
      <c r="B16" s="9">
        <v>2021</v>
      </c>
      <c r="C16" s="10">
        <v>1200.346</v>
      </c>
      <c r="D16" s="6" t="s">
        <v>56</v>
      </c>
      <c r="E16" s="6" t="s">
        <v>47</v>
      </c>
      <c r="F16" s="6" t="s">
        <v>48</v>
      </c>
      <c r="G16" s="6" t="s">
        <v>49</v>
      </c>
      <c r="H16" s="7" t="s">
        <v>50</v>
      </c>
    </row>
    <row r="17" spans="1:8">
      <c r="A17" s="6" t="s">
        <v>55</v>
      </c>
      <c r="B17" s="9">
        <v>2022</v>
      </c>
      <c r="C17" s="10">
        <v>1572.602</v>
      </c>
      <c r="D17" s="6" t="s">
        <v>56</v>
      </c>
      <c r="E17" s="6" t="s">
        <v>47</v>
      </c>
      <c r="F17" s="6" t="s">
        <v>51</v>
      </c>
      <c r="G17" s="6" t="s">
        <v>52</v>
      </c>
      <c r="H17" s="7" t="s">
        <v>50</v>
      </c>
    </row>
    <row r="18" spans="1:8">
      <c r="A18" s="6" t="s">
        <v>55</v>
      </c>
      <c r="B18" s="9">
        <v>2023</v>
      </c>
      <c r="C18" s="10">
        <v>1742.348</v>
      </c>
      <c r="D18" s="6" t="s">
        <v>56</v>
      </c>
      <c r="E18" s="6" t="s">
        <v>47</v>
      </c>
      <c r="F18" s="6" t="s">
        <v>53</v>
      </c>
      <c r="G18" s="6" t="s">
        <v>54</v>
      </c>
      <c r="H18" s="7" t="s">
        <v>50</v>
      </c>
    </row>
    <row r="19" spans="1:8">
      <c r="A19" s="6" t="s">
        <v>55</v>
      </c>
      <c r="B19" s="9">
        <v>2024</v>
      </c>
      <c r="C19" s="10">
        <v>1175.968</v>
      </c>
      <c r="D19" s="6" t="s">
        <v>56</v>
      </c>
      <c r="E19" s="6" t="s">
        <v>47</v>
      </c>
      <c r="F19" s="6" t="s">
        <v>53</v>
      </c>
      <c r="G19" s="6" t="s">
        <v>54</v>
      </c>
      <c r="H19" s="7" t="s">
        <v>50</v>
      </c>
    </row>
    <row r="20" spans="1:8">
      <c r="A20" s="6" t="s">
        <v>55</v>
      </c>
      <c r="B20" s="9">
        <v>2025</v>
      </c>
      <c r="C20" s="10">
        <v>52.168</v>
      </c>
      <c r="D20" s="6" t="s">
        <v>56</v>
      </c>
      <c r="E20" s="6" t="s">
        <v>47</v>
      </c>
      <c r="F20" s="6" t="s">
        <v>53</v>
      </c>
      <c r="G20" s="6" t="s">
        <v>54</v>
      </c>
      <c r="H20" s="7" t="s">
        <v>50</v>
      </c>
    </row>
    <row r="21" spans="1:8">
      <c r="A21" s="6" t="s">
        <v>57</v>
      </c>
      <c r="B21" s="9">
        <v>2021</v>
      </c>
      <c r="C21" s="10">
        <v>301.556</v>
      </c>
      <c r="D21" s="6" t="s">
        <v>58</v>
      </c>
      <c r="E21" s="6" t="s">
        <v>47</v>
      </c>
      <c r="F21" s="6" t="s">
        <v>48</v>
      </c>
      <c r="G21" s="6" t="s">
        <v>49</v>
      </c>
      <c r="H21" s="7" t="s">
        <v>50</v>
      </c>
    </row>
    <row r="22" spans="1:8">
      <c r="A22" s="6" t="s">
        <v>57</v>
      </c>
      <c r="B22" s="9">
        <v>2022</v>
      </c>
      <c r="C22" s="10">
        <v>389.901</v>
      </c>
      <c r="D22" s="6" t="s">
        <v>58</v>
      </c>
      <c r="E22" s="6" t="s">
        <v>47</v>
      </c>
      <c r="F22" s="6" t="s">
        <v>51</v>
      </c>
      <c r="G22" s="6" t="s">
        <v>52</v>
      </c>
      <c r="H22" s="7" t="s">
        <v>50</v>
      </c>
    </row>
    <row r="23" spans="1:8">
      <c r="A23" s="6" t="s">
        <v>57</v>
      </c>
      <c r="B23" s="9">
        <v>2023</v>
      </c>
      <c r="C23" s="10">
        <v>425.824</v>
      </c>
      <c r="D23" s="6" t="s">
        <v>58</v>
      </c>
      <c r="E23" s="6" t="s">
        <v>47</v>
      </c>
      <c r="F23" s="6" t="s">
        <v>53</v>
      </c>
      <c r="G23" s="6" t="s">
        <v>54</v>
      </c>
      <c r="H23" s="7" t="s">
        <v>50</v>
      </c>
    </row>
    <row r="24" spans="1:8">
      <c r="A24" s="6" t="s">
        <v>57</v>
      </c>
      <c r="B24" s="9">
        <v>2024</v>
      </c>
      <c r="C24" s="10">
        <v>271.892</v>
      </c>
      <c r="D24" s="6" t="s">
        <v>58</v>
      </c>
      <c r="E24" s="6" t="s">
        <v>47</v>
      </c>
      <c r="F24" s="6" t="s">
        <v>53</v>
      </c>
      <c r="G24" s="6" t="s">
        <v>54</v>
      </c>
      <c r="H24" s="7" t="s">
        <v>50</v>
      </c>
    </row>
    <row r="25" spans="1:8">
      <c r="A25" s="6" t="s">
        <v>57</v>
      </c>
      <c r="B25" s="9">
        <v>2025</v>
      </c>
      <c r="C25" s="10">
        <v>-13.777</v>
      </c>
      <c r="D25" s="6" t="s">
        <v>58</v>
      </c>
      <c r="E25" s="6" t="s">
        <v>47</v>
      </c>
      <c r="F25" s="6" t="s">
        <v>53</v>
      </c>
      <c r="G25" s="6" t="s">
        <v>54</v>
      </c>
      <c r="H25" s="7" t="s">
        <v>50</v>
      </c>
    </row>
    <row r="26" spans="1:8">
      <c r="A26" s="6" t="s">
        <v>59</v>
      </c>
      <c r="B26" s="9">
        <v>2021</v>
      </c>
      <c r="C26" s="10">
        <v>898.79</v>
      </c>
      <c r="D26" s="6" t="s">
        <v>60</v>
      </c>
      <c r="E26" s="6" t="s">
        <v>47</v>
      </c>
      <c r="F26" s="6" t="s">
        <v>48</v>
      </c>
      <c r="G26" s="6" t="s">
        <v>49</v>
      </c>
      <c r="H26" s="7" t="s">
        <v>50</v>
      </c>
    </row>
    <row r="27" spans="1:8">
      <c r="A27" s="6" t="s">
        <v>59</v>
      </c>
      <c r="B27" s="9">
        <v>2022</v>
      </c>
      <c r="C27" s="10">
        <v>1182.701</v>
      </c>
      <c r="D27" s="6" t="s">
        <v>60</v>
      </c>
      <c r="E27" s="6" t="s">
        <v>47</v>
      </c>
      <c r="F27" s="6" t="s">
        <v>51</v>
      </c>
      <c r="G27" s="6" t="s">
        <v>52</v>
      </c>
      <c r="H27" s="7" t="s">
        <v>50</v>
      </c>
    </row>
    <row r="28" spans="1:8">
      <c r="A28" s="6" t="s">
        <v>59</v>
      </c>
      <c r="B28" s="9">
        <v>2023</v>
      </c>
      <c r="C28" s="10">
        <v>1316.524</v>
      </c>
      <c r="D28" s="6" t="s">
        <v>60</v>
      </c>
      <c r="E28" s="6" t="s">
        <v>47</v>
      </c>
      <c r="F28" s="6" t="s">
        <v>53</v>
      </c>
      <c r="G28" s="6" t="s">
        <v>54</v>
      </c>
      <c r="H28" s="7" t="s">
        <v>50</v>
      </c>
    </row>
    <row r="29" spans="1:8">
      <c r="A29" s="6" t="s">
        <v>59</v>
      </c>
      <c r="B29" s="9">
        <v>2024</v>
      </c>
      <c r="C29" s="10">
        <v>904.076</v>
      </c>
      <c r="D29" s="6" t="s">
        <v>60</v>
      </c>
      <c r="E29" s="6" t="s">
        <v>47</v>
      </c>
      <c r="F29" s="6" t="s">
        <v>53</v>
      </c>
      <c r="G29" s="6" t="s">
        <v>54</v>
      </c>
      <c r="H29" s="7" t="s">
        <v>50</v>
      </c>
    </row>
    <row r="30" spans="1:8">
      <c r="A30" s="6" t="s">
        <v>59</v>
      </c>
      <c r="B30" s="9">
        <v>2025</v>
      </c>
      <c r="C30" s="10">
        <v>65.94499999999999</v>
      </c>
      <c r="D30" s="6" t="s">
        <v>60</v>
      </c>
      <c r="E30" s="6" t="s">
        <v>47</v>
      </c>
      <c r="F30" s="6" t="s">
        <v>53</v>
      </c>
      <c r="G30" s="6" t="s">
        <v>54</v>
      </c>
      <c r="H30" s="7" t="s">
        <v>50</v>
      </c>
    </row>
    <row r="31" spans="1:8">
      <c r="A31" s="6" t="s">
        <v>61</v>
      </c>
      <c r="B31" s="9">
        <v>2021</v>
      </c>
      <c r="C31" s="10">
        <v>1258.285</v>
      </c>
      <c r="D31" s="6" t="s">
        <v>62</v>
      </c>
      <c r="E31" s="6" t="s">
        <v>47</v>
      </c>
      <c r="F31" s="6" t="s">
        <v>48</v>
      </c>
      <c r="G31" s="6" t="s">
        <v>49</v>
      </c>
      <c r="H31" s="7" t="s">
        <v>50</v>
      </c>
    </row>
    <row r="32" spans="1:8">
      <c r="A32" s="6" t="s">
        <v>61</v>
      </c>
      <c r="B32" s="9">
        <v>2022</v>
      </c>
      <c r="C32" s="10">
        <v>1466.971</v>
      </c>
      <c r="D32" s="6" t="s">
        <v>62</v>
      </c>
      <c r="E32" s="6" t="s">
        <v>47</v>
      </c>
      <c r="F32" s="6" t="s">
        <v>51</v>
      </c>
      <c r="G32" s="6" t="s">
        <v>52</v>
      </c>
      <c r="H32" s="7" t="s">
        <v>50</v>
      </c>
    </row>
    <row r="33" spans="1:8">
      <c r="A33" s="6" t="s">
        <v>61</v>
      </c>
      <c r="B33" s="9">
        <v>2023</v>
      </c>
      <c r="C33" s="10">
        <v>1435.61</v>
      </c>
      <c r="D33" s="6" t="s">
        <v>62</v>
      </c>
      <c r="E33" s="6" t="s">
        <v>47</v>
      </c>
      <c r="F33" s="6" t="s">
        <v>53</v>
      </c>
      <c r="G33" s="6" t="s">
        <v>54</v>
      </c>
      <c r="H33" s="7" t="s">
        <v>50</v>
      </c>
    </row>
    <row r="34" spans="1:8">
      <c r="A34" s="6" t="s">
        <v>61</v>
      </c>
      <c r="B34" s="9">
        <v>2024</v>
      </c>
      <c r="C34" s="10">
        <v>1251.251</v>
      </c>
      <c r="D34" s="6" t="s">
        <v>62</v>
      </c>
      <c r="E34" s="6" t="s">
        <v>47</v>
      </c>
      <c r="F34" s="6" t="s">
        <v>53</v>
      </c>
      <c r="G34" s="6" t="s">
        <v>54</v>
      </c>
      <c r="H34" s="7" t="s">
        <v>50</v>
      </c>
    </row>
    <row r="35" spans="1:8">
      <c r="A35" s="6" t="s">
        <v>61</v>
      </c>
      <c r="B35" s="9">
        <v>2025</v>
      </c>
      <c r="C35" s="10">
        <v>890.7619999999999</v>
      </c>
      <c r="D35" s="6" t="s">
        <v>62</v>
      </c>
      <c r="E35" s="6" t="s">
        <v>47</v>
      </c>
      <c r="F35" s="6" t="s">
        <v>53</v>
      </c>
      <c r="G35" s="6" t="s">
        <v>54</v>
      </c>
      <c r="H35" s="7" t="s">
        <v>50</v>
      </c>
    </row>
    <row r="36" spans="1:8">
      <c r="A36" s="6" t="s">
        <v>63</v>
      </c>
      <c r="B36" s="9">
        <v>2021</v>
      </c>
      <c r="C36" s="10">
        <v>266.136</v>
      </c>
      <c r="D36" s="6" t="s">
        <v>64</v>
      </c>
      <c r="E36" s="6" t="s">
        <v>47</v>
      </c>
      <c r="F36" s="6" t="s">
        <v>48</v>
      </c>
      <c r="G36" s="6" t="s">
        <v>49</v>
      </c>
      <c r="H36" s="7" t="s">
        <v>50</v>
      </c>
    </row>
    <row r="37" spans="1:8">
      <c r="A37" s="6" t="s">
        <v>63</v>
      </c>
      <c r="B37" s="9">
        <v>2022</v>
      </c>
      <c r="C37" s="10">
        <v>339.632</v>
      </c>
      <c r="D37" s="6" t="s">
        <v>64</v>
      </c>
      <c r="E37" s="6" t="s">
        <v>47</v>
      </c>
      <c r="F37" s="6" t="s">
        <v>51</v>
      </c>
      <c r="G37" s="6" t="s">
        <v>52</v>
      </c>
      <c r="H37" s="7" t="s">
        <v>50</v>
      </c>
    </row>
    <row r="38" spans="1:8">
      <c r="A38" s="6" t="s">
        <v>63</v>
      </c>
      <c r="B38" s="9">
        <v>2023</v>
      </c>
      <c r="C38" s="10">
        <v>512.675</v>
      </c>
      <c r="D38" s="6" t="s">
        <v>64</v>
      </c>
      <c r="E38" s="6" t="s">
        <v>47</v>
      </c>
      <c r="F38" s="6" t="s">
        <v>53</v>
      </c>
      <c r="G38" s="6" t="s">
        <v>54</v>
      </c>
      <c r="H38" s="7" t="s">
        <v>50</v>
      </c>
    </row>
    <row r="39" spans="1:8">
      <c r="A39" s="6" t="s">
        <v>63</v>
      </c>
      <c r="B39" s="9">
        <v>2024</v>
      </c>
      <c r="C39" s="10">
        <v>567.3390000000001</v>
      </c>
      <c r="D39" s="6" t="s">
        <v>64</v>
      </c>
      <c r="E39" s="6" t="s">
        <v>47</v>
      </c>
      <c r="F39" s="6" t="s">
        <v>53</v>
      </c>
      <c r="G39" s="6" t="s">
        <v>54</v>
      </c>
      <c r="H39" s="7" t="s">
        <v>50</v>
      </c>
    </row>
    <row r="40" spans="1:8">
      <c r="A40" s="6" t="s">
        <v>63</v>
      </c>
      <c r="B40" s="9">
        <v>2025</v>
      </c>
      <c r="C40" s="10">
        <v>469.838</v>
      </c>
      <c r="D40" s="6" t="s">
        <v>64</v>
      </c>
      <c r="E40" s="6" t="s">
        <v>47</v>
      </c>
      <c r="F40" s="6" t="s">
        <v>53</v>
      </c>
      <c r="G40" s="6" t="s">
        <v>54</v>
      </c>
      <c r="H40" s="7" t="s">
        <v>50</v>
      </c>
    </row>
    <row r="41" spans="1:8">
      <c r="A41" s="6" t="s">
        <v>65</v>
      </c>
      <c r="B41" s="9">
        <v>2021</v>
      </c>
      <c r="C41" s="10">
        <v>62.15</v>
      </c>
      <c r="D41" s="6" t="s">
        <v>66</v>
      </c>
      <c r="E41" s="6" t="s">
        <v>47</v>
      </c>
      <c r="F41" s="6" t="s">
        <v>48</v>
      </c>
      <c r="G41" s="6" t="s">
        <v>49</v>
      </c>
      <c r="H41" s="7" t="s">
        <v>50</v>
      </c>
    </row>
    <row r="42" spans="1:8">
      <c r="A42" s="6" t="s">
        <v>65</v>
      </c>
      <c r="B42" s="9">
        <v>2022</v>
      </c>
      <c r="C42" s="10">
        <v>73.887</v>
      </c>
      <c r="D42" s="6" t="s">
        <v>66</v>
      </c>
      <c r="E42" s="6" t="s">
        <v>47</v>
      </c>
      <c r="F42" s="6" t="s">
        <v>48</v>
      </c>
      <c r="G42" s="6" t="s">
        <v>49</v>
      </c>
      <c r="H42" s="7" t="s">
        <v>50</v>
      </c>
    </row>
    <row r="43" spans="1:8">
      <c r="A43" s="6" t="s">
        <v>65</v>
      </c>
      <c r="B43" s="9">
        <v>2023</v>
      </c>
      <c r="C43" s="10">
        <v>64.46899999999999</v>
      </c>
      <c r="D43" s="6" t="s">
        <v>66</v>
      </c>
      <c r="E43" s="6" t="s">
        <v>47</v>
      </c>
      <c r="F43" s="6" t="s">
        <v>48</v>
      </c>
      <c r="G43" s="6" t="s">
        <v>49</v>
      </c>
      <c r="H43" s="7" t="s">
        <v>50</v>
      </c>
    </row>
    <row r="44" spans="1:8">
      <c r="A44" s="6" t="s">
        <v>65</v>
      </c>
      <c r="B44" s="9">
        <v>2024</v>
      </c>
      <c r="C44" s="10"/>
      <c r="D44" s="6" t="s">
        <v>66</v>
      </c>
      <c r="E44" s="6"/>
      <c r="F44" s="6"/>
      <c r="G44" s="6"/>
      <c r="H44" s="5" t="s">
        <v>67</v>
      </c>
    </row>
    <row r="45" spans="1:8">
      <c r="A45" s="6" t="s">
        <v>65</v>
      </c>
      <c r="B45" s="9">
        <v>2025</v>
      </c>
      <c r="C45" s="10"/>
      <c r="D45" s="6" t="s">
        <v>66</v>
      </c>
      <c r="E45" s="6"/>
      <c r="F45" s="6"/>
      <c r="G45" s="6"/>
      <c r="H45" s="5" t="s">
        <v>67</v>
      </c>
    </row>
    <row r="46" spans="1:8">
      <c r="A46" s="6" t="s">
        <v>68</v>
      </c>
      <c r="B46" s="9">
        <v>2021</v>
      </c>
      <c r="C46" s="10">
        <v>65.732</v>
      </c>
      <c r="D46" s="6" t="s">
        <v>69</v>
      </c>
      <c r="E46" s="6" t="s">
        <v>47</v>
      </c>
      <c r="F46" s="6" t="s">
        <v>48</v>
      </c>
      <c r="G46" s="6" t="s">
        <v>49</v>
      </c>
      <c r="H46" s="7" t="s">
        <v>50</v>
      </c>
    </row>
    <row r="47" spans="1:8">
      <c r="A47" s="6" t="s">
        <v>68</v>
      </c>
      <c r="B47" s="9">
        <v>2022</v>
      </c>
      <c r="C47" s="10">
        <v>73.36799999999999</v>
      </c>
      <c r="D47" s="6" t="s">
        <v>69</v>
      </c>
      <c r="E47" s="6" t="s">
        <v>47</v>
      </c>
      <c r="F47" s="6" t="s">
        <v>51</v>
      </c>
      <c r="G47" s="6" t="s">
        <v>52</v>
      </c>
      <c r="H47" s="7" t="s">
        <v>50</v>
      </c>
    </row>
    <row r="48" spans="1:8">
      <c r="A48" s="6" t="s">
        <v>68</v>
      </c>
      <c r="B48" s="9">
        <v>2023</v>
      </c>
      <c r="C48" s="10">
        <v>90.405</v>
      </c>
      <c r="D48" s="6" t="s">
        <v>69</v>
      </c>
      <c r="E48" s="6" t="s">
        <v>47</v>
      </c>
      <c r="F48" s="6" t="s">
        <v>53</v>
      </c>
      <c r="G48" s="6" t="s">
        <v>54</v>
      </c>
      <c r="H48" s="7" t="s">
        <v>50</v>
      </c>
    </row>
    <row r="49" spans="1:8">
      <c r="A49" s="6" t="s">
        <v>68</v>
      </c>
      <c r="B49" s="9">
        <v>2024</v>
      </c>
      <c r="C49" s="10">
        <v>124.977</v>
      </c>
      <c r="D49" s="6" t="s">
        <v>69</v>
      </c>
      <c r="E49" s="6" t="s">
        <v>47</v>
      </c>
      <c r="F49" s="6" t="s">
        <v>53</v>
      </c>
      <c r="G49" s="6" t="s">
        <v>54</v>
      </c>
      <c r="H49" s="7" t="s">
        <v>50</v>
      </c>
    </row>
    <row r="50" spans="1:8">
      <c r="A50" s="6" t="s">
        <v>68</v>
      </c>
      <c r="B50" s="9">
        <v>2025</v>
      </c>
      <c r="C50" s="10">
        <v>191.334</v>
      </c>
      <c r="D50" s="6" t="s">
        <v>69</v>
      </c>
      <c r="E50" s="6" t="s">
        <v>47</v>
      </c>
      <c r="F50" s="6" t="s">
        <v>53</v>
      </c>
      <c r="G50" s="6" t="s">
        <v>54</v>
      </c>
      <c r="H50" s="7" t="s">
        <v>50</v>
      </c>
    </row>
    <row r="51" spans="1:8">
      <c r="A51" s="6" t="s">
        <v>70</v>
      </c>
      <c r="B51" s="9">
        <v>2021</v>
      </c>
      <c r="C51" s="10">
        <v>290.971</v>
      </c>
      <c r="D51" s="6" t="s">
        <v>71</v>
      </c>
      <c r="E51" s="6" t="s">
        <v>47</v>
      </c>
      <c r="F51" s="6" t="s">
        <v>48</v>
      </c>
      <c r="G51" s="6" t="s">
        <v>49</v>
      </c>
      <c r="H51" s="7" t="s">
        <v>50</v>
      </c>
    </row>
    <row r="52" spans="1:8">
      <c r="A52" s="6" t="s">
        <v>70</v>
      </c>
      <c r="B52" s="9">
        <v>2022</v>
      </c>
      <c r="C52" s="10">
        <v>347.819</v>
      </c>
      <c r="D52" s="6" t="s">
        <v>71</v>
      </c>
      <c r="E52" s="6" t="s">
        <v>47</v>
      </c>
      <c r="F52" s="6" t="s">
        <v>51</v>
      </c>
      <c r="G52" s="6" t="s">
        <v>52</v>
      </c>
      <c r="H52" s="7" t="s">
        <v>50</v>
      </c>
    </row>
    <row r="53" spans="1:8">
      <c r="A53" s="6" t="s">
        <v>70</v>
      </c>
      <c r="B53" s="9">
        <v>2023</v>
      </c>
      <c r="C53" s="10">
        <v>350.529</v>
      </c>
      <c r="D53" s="6" t="s">
        <v>71</v>
      </c>
      <c r="E53" s="6" t="s">
        <v>47</v>
      </c>
      <c r="F53" s="6" t="s">
        <v>53</v>
      </c>
      <c r="G53" s="6" t="s">
        <v>54</v>
      </c>
      <c r="H53" s="7" t="s">
        <v>50</v>
      </c>
    </row>
    <row r="54" spans="1:8">
      <c r="A54" s="6" t="s">
        <v>70</v>
      </c>
      <c r="B54" s="9">
        <v>2024</v>
      </c>
      <c r="C54" s="10">
        <v>407.978</v>
      </c>
      <c r="D54" s="6" t="s">
        <v>71</v>
      </c>
      <c r="E54" s="6" t="s">
        <v>47</v>
      </c>
      <c r="F54" s="6" t="s">
        <v>53</v>
      </c>
      <c r="G54" s="6" t="s">
        <v>54</v>
      </c>
      <c r="H54" s="7" t="s">
        <v>50</v>
      </c>
    </row>
    <row r="55" spans="1:8">
      <c r="A55" s="6" t="s">
        <v>70</v>
      </c>
      <c r="B55" s="9">
        <v>2025</v>
      </c>
      <c r="C55" s="10">
        <v>538.023</v>
      </c>
      <c r="D55" s="6" t="s">
        <v>71</v>
      </c>
      <c r="E55" s="6" t="s">
        <v>47</v>
      </c>
      <c r="F55" s="6" t="s">
        <v>53</v>
      </c>
      <c r="G55" s="6" t="s">
        <v>54</v>
      </c>
      <c r="H55" s="7" t="s">
        <v>50</v>
      </c>
    </row>
    <row r="56" spans="1:8">
      <c r="A56" s="6" t="s">
        <v>72</v>
      </c>
      <c r="B56" s="9">
        <v>2021</v>
      </c>
      <c r="C56" s="10">
        <v>714.701</v>
      </c>
      <c r="D56" s="6" t="s">
        <v>73</v>
      </c>
      <c r="E56" s="6" t="s">
        <v>47</v>
      </c>
      <c r="F56" s="6" t="s">
        <v>51</v>
      </c>
      <c r="G56" s="6" t="s">
        <v>52</v>
      </c>
      <c r="H56" s="7" t="s">
        <v>50</v>
      </c>
    </row>
    <row r="57" spans="1:8">
      <c r="A57" s="6" t="s">
        <v>72</v>
      </c>
      <c r="B57" s="9">
        <v>2022</v>
      </c>
      <c r="C57" s="10">
        <v>653.463</v>
      </c>
      <c r="D57" s="6" t="s">
        <v>73</v>
      </c>
      <c r="E57" s="6" t="s">
        <v>47</v>
      </c>
      <c r="F57" s="6" t="s">
        <v>53</v>
      </c>
      <c r="G57" s="6" t="s">
        <v>54</v>
      </c>
      <c r="H57" s="7" t="s">
        <v>50</v>
      </c>
    </row>
    <row r="58" spans="1:8">
      <c r="A58" s="6" t="s">
        <v>72</v>
      </c>
      <c r="B58" s="9">
        <v>2023</v>
      </c>
      <c r="C58" s="10">
        <v>1102.007</v>
      </c>
      <c r="D58" s="6" t="s">
        <v>73</v>
      </c>
      <c r="E58" s="6" t="s">
        <v>47</v>
      </c>
      <c r="F58" s="6" t="s">
        <v>53</v>
      </c>
      <c r="G58" s="6" t="s">
        <v>54</v>
      </c>
      <c r="H58" s="7" t="s">
        <v>50</v>
      </c>
    </row>
    <row r="59" spans="1:8">
      <c r="A59" s="6" t="s">
        <v>72</v>
      </c>
      <c r="B59" s="9">
        <v>2024</v>
      </c>
      <c r="C59" s="10">
        <v>479.991</v>
      </c>
      <c r="D59" s="6" t="s">
        <v>73</v>
      </c>
      <c r="E59" s="6" t="s">
        <v>47</v>
      </c>
      <c r="F59" s="6" t="s">
        <v>53</v>
      </c>
      <c r="G59" s="6" t="s">
        <v>54</v>
      </c>
      <c r="H59" s="7" t="s">
        <v>50</v>
      </c>
    </row>
    <row r="60" spans="1:8">
      <c r="A60" s="6" t="s">
        <v>72</v>
      </c>
      <c r="B60" s="9">
        <v>2025</v>
      </c>
      <c r="C60" s="10">
        <v>477.179</v>
      </c>
      <c r="D60" s="6" t="s">
        <v>73</v>
      </c>
      <c r="E60" s="6" t="s">
        <v>47</v>
      </c>
      <c r="F60" s="6" t="s">
        <v>53</v>
      </c>
      <c r="G60" s="6" t="s">
        <v>54</v>
      </c>
      <c r="H60" s="7" t="s">
        <v>50</v>
      </c>
    </row>
    <row r="61" spans="1:8">
      <c r="A61" s="6" t="s">
        <v>74</v>
      </c>
      <c r="B61" s="9">
        <v>2021</v>
      </c>
      <c r="C61" s="10">
        <v>1797.955</v>
      </c>
      <c r="D61" s="6" t="s">
        <v>75</v>
      </c>
      <c r="E61" s="6" t="s">
        <v>47</v>
      </c>
      <c r="F61" s="6" t="s">
        <v>76</v>
      </c>
      <c r="G61" s="6" t="s">
        <v>77</v>
      </c>
      <c r="H61" s="7" t="s">
        <v>50</v>
      </c>
    </row>
    <row r="62" spans="1:8">
      <c r="A62" s="6" t="s">
        <v>74</v>
      </c>
      <c r="B62" s="9">
        <v>2022</v>
      </c>
      <c r="C62" s="10">
        <v>2188.868</v>
      </c>
      <c r="D62" s="6" t="s">
        <v>75</v>
      </c>
      <c r="E62" s="6" t="s">
        <v>47</v>
      </c>
      <c r="F62" s="6" t="s">
        <v>48</v>
      </c>
      <c r="G62" s="6" t="s">
        <v>49</v>
      </c>
      <c r="H62" s="7" t="s">
        <v>50</v>
      </c>
    </row>
    <row r="63" spans="1:8">
      <c r="A63" s="6" t="s">
        <v>74</v>
      </c>
      <c r="B63" s="9">
        <v>2023</v>
      </c>
      <c r="C63" s="10">
        <v>2223.431</v>
      </c>
      <c r="D63" s="6" t="s">
        <v>75</v>
      </c>
      <c r="E63" s="6" t="s">
        <v>47</v>
      </c>
      <c r="F63" s="6" t="s">
        <v>51</v>
      </c>
      <c r="G63" s="6" t="s">
        <v>52</v>
      </c>
      <c r="H63" s="7" t="s">
        <v>50</v>
      </c>
    </row>
    <row r="64" spans="1:8">
      <c r="A64" s="6" t="s">
        <v>74</v>
      </c>
      <c r="B64" s="9">
        <v>2024</v>
      </c>
      <c r="C64" s="10">
        <v>2182.856</v>
      </c>
      <c r="D64" s="6" t="s">
        <v>75</v>
      </c>
      <c r="E64" s="6" t="s">
        <v>47</v>
      </c>
      <c r="F64" s="6" t="s">
        <v>53</v>
      </c>
      <c r="G64" s="6" t="s">
        <v>54</v>
      </c>
      <c r="H64" s="7" t="s">
        <v>50</v>
      </c>
    </row>
    <row r="65" spans="1:8">
      <c r="A65" s="6" t="s">
        <v>74</v>
      </c>
      <c r="B65" s="9">
        <v>2025</v>
      </c>
      <c r="C65" s="10">
        <v>2370.939</v>
      </c>
      <c r="D65" s="6" t="s">
        <v>75</v>
      </c>
      <c r="E65" s="6" t="s">
        <v>47</v>
      </c>
      <c r="F65" s="6" t="s">
        <v>53</v>
      </c>
      <c r="G65" s="6" t="s">
        <v>54</v>
      </c>
      <c r="H65" s="7" t="s">
        <v>50</v>
      </c>
    </row>
    <row r="66" spans="1:8">
      <c r="A66" s="6" t="s">
        <v>78</v>
      </c>
      <c r="B66" s="9">
        <v>2021</v>
      </c>
      <c r="C66" s="10">
        <v>3889.919</v>
      </c>
      <c r="D66" s="6" t="s">
        <v>79</v>
      </c>
      <c r="E66" s="6" t="s">
        <v>47</v>
      </c>
      <c r="F66" s="6" t="s">
        <v>76</v>
      </c>
      <c r="G66" s="6" t="s">
        <v>77</v>
      </c>
      <c r="H66" s="7" t="s">
        <v>50</v>
      </c>
    </row>
    <row r="67" spans="1:8">
      <c r="A67" s="6" t="s">
        <v>78</v>
      </c>
      <c r="B67" s="9">
        <v>2022</v>
      </c>
      <c r="C67" s="10">
        <v>4441.649</v>
      </c>
      <c r="D67" s="6" t="s">
        <v>79</v>
      </c>
      <c r="E67" s="6" t="s">
        <v>47</v>
      </c>
      <c r="F67" s="6" t="s">
        <v>48</v>
      </c>
      <c r="G67" s="6" t="s">
        <v>49</v>
      </c>
      <c r="H67" s="7" t="s">
        <v>50</v>
      </c>
    </row>
    <row r="68" spans="1:8">
      <c r="A68" s="6" t="s">
        <v>78</v>
      </c>
      <c r="B68" s="9">
        <v>2023</v>
      </c>
      <c r="C68" s="10">
        <v>4676.686</v>
      </c>
      <c r="D68" s="6" t="s">
        <v>79</v>
      </c>
      <c r="E68" s="6" t="s">
        <v>47</v>
      </c>
      <c r="F68" s="6" t="s">
        <v>51</v>
      </c>
      <c r="G68" s="6" t="s">
        <v>52</v>
      </c>
      <c r="H68" s="7" t="s">
        <v>50</v>
      </c>
    </row>
    <row r="69" spans="1:8">
      <c r="A69" s="6" t="s">
        <v>78</v>
      </c>
      <c r="B69" s="9">
        <v>2024</v>
      </c>
      <c r="C69" s="10">
        <v>5514.427</v>
      </c>
      <c r="D69" s="6" t="s">
        <v>79</v>
      </c>
      <c r="E69" s="6" t="s">
        <v>47</v>
      </c>
      <c r="F69" s="6" t="s">
        <v>53</v>
      </c>
      <c r="G69" s="6" t="s">
        <v>54</v>
      </c>
      <c r="H69" s="7" t="s">
        <v>50</v>
      </c>
    </row>
    <row r="70" spans="1:8">
      <c r="A70" s="6" t="s">
        <v>78</v>
      </c>
      <c r="B70" s="9">
        <v>2025</v>
      </c>
      <c r="C70" s="10">
        <v>6071.996</v>
      </c>
      <c r="D70" s="6" t="s">
        <v>79</v>
      </c>
      <c r="E70" s="6" t="s">
        <v>47</v>
      </c>
      <c r="F70" s="6" t="s">
        <v>53</v>
      </c>
      <c r="G70" s="6" t="s">
        <v>54</v>
      </c>
      <c r="H70" s="7" t="s">
        <v>50</v>
      </c>
    </row>
    <row r="71" spans="1:8">
      <c r="A71" s="6" t="s">
        <v>80</v>
      </c>
      <c r="B71" s="9">
        <v>2021</v>
      </c>
      <c r="C71" s="10">
        <v>7756.422</v>
      </c>
      <c r="D71" s="6" t="s">
        <v>81</v>
      </c>
      <c r="E71" s="6" t="s">
        <v>47</v>
      </c>
      <c r="F71" s="6" t="s">
        <v>76</v>
      </c>
      <c r="G71" s="6" t="s">
        <v>77</v>
      </c>
      <c r="H71" s="7" t="s">
        <v>50</v>
      </c>
    </row>
    <row r="72" spans="1:8">
      <c r="A72" s="6" t="s">
        <v>80</v>
      </c>
      <c r="B72" s="9">
        <v>2022</v>
      </c>
      <c r="C72" s="10">
        <v>8816.739</v>
      </c>
      <c r="D72" s="6" t="s">
        <v>81</v>
      </c>
      <c r="E72" s="6" t="s">
        <v>47</v>
      </c>
      <c r="F72" s="6" t="s">
        <v>48</v>
      </c>
      <c r="G72" s="6" t="s">
        <v>49</v>
      </c>
      <c r="H72" s="7" t="s">
        <v>50</v>
      </c>
    </row>
    <row r="73" spans="1:8">
      <c r="A73" s="6" t="s">
        <v>80</v>
      </c>
      <c r="B73" s="9">
        <v>2023</v>
      </c>
      <c r="C73" s="10">
        <v>9605.852000000001</v>
      </c>
      <c r="D73" s="6" t="s">
        <v>81</v>
      </c>
      <c r="E73" s="6" t="s">
        <v>47</v>
      </c>
      <c r="F73" s="6" t="s">
        <v>51</v>
      </c>
      <c r="G73" s="6" t="s">
        <v>52</v>
      </c>
      <c r="H73" s="7" t="s">
        <v>50</v>
      </c>
    </row>
    <row r="74" spans="1:8">
      <c r="A74" s="6" t="s">
        <v>80</v>
      </c>
      <c r="B74" s="9">
        <v>2024</v>
      </c>
      <c r="C74" s="10">
        <v>9852.584000000001</v>
      </c>
      <c r="D74" s="6" t="s">
        <v>81</v>
      </c>
      <c r="E74" s="6" t="s">
        <v>47</v>
      </c>
      <c r="F74" s="6" t="s">
        <v>53</v>
      </c>
      <c r="G74" s="6" t="s">
        <v>54</v>
      </c>
      <c r="H74" s="7" t="s">
        <v>50</v>
      </c>
    </row>
    <row r="75" spans="1:8">
      <c r="A75" s="6" t="s">
        <v>80</v>
      </c>
      <c r="B75" s="9">
        <v>2025</v>
      </c>
      <c r="C75" s="10">
        <v>10564.734</v>
      </c>
      <c r="D75" s="6" t="s">
        <v>81</v>
      </c>
      <c r="E75" s="6" t="s">
        <v>47</v>
      </c>
      <c r="F75" s="6" t="s">
        <v>53</v>
      </c>
      <c r="G75" s="6" t="s">
        <v>54</v>
      </c>
      <c r="H75" s="7" t="s">
        <v>50</v>
      </c>
    </row>
    <row r="76" spans="1:8">
      <c r="A76" s="6" t="s">
        <v>82</v>
      </c>
      <c r="B76" s="9">
        <v>2021</v>
      </c>
      <c r="C76" s="10">
        <v>6581.583</v>
      </c>
      <c r="D76" s="6" t="s">
        <v>83</v>
      </c>
      <c r="E76" s="6" t="s">
        <v>47</v>
      </c>
      <c r="F76" s="6" t="s">
        <v>76</v>
      </c>
      <c r="G76" s="6" t="s">
        <v>77</v>
      </c>
      <c r="H76" s="7" t="s">
        <v>50</v>
      </c>
    </row>
    <row r="77" spans="1:8">
      <c r="A77" s="6" t="s">
        <v>82</v>
      </c>
      <c r="B77" s="9">
        <v>2022</v>
      </c>
      <c r="C77" s="10">
        <v>7686.11</v>
      </c>
      <c r="D77" s="6" t="s">
        <v>83</v>
      </c>
      <c r="E77" s="6" t="s">
        <v>47</v>
      </c>
      <c r="F77" s="6" t="s">
        <v>48</v>
      </c>
      <c r="G77" s="6" t="s">
        <v>49</v>
      </c>
      <c r="H77" s="7" t="s">
        <v>50</v>
      </c>
    </row>
    <row r="78" spans="1:8">
      <c r="A78" s="6" t="s">
        <v>82</v>
      </c>
      <c r="B78" s="9">
        <v>2023</v>
      </c>
      <c r="C78" s="10">
        <v>7827.109</v>
      </c>
      <c r="D78" s="6" t="s">
        <v>83</v>
      </c>
      <c r="E78" s="6" t="s">
        <v>47</v>
      </c>
      <c r="F78" s="6" t="s">
        <v>51</v>
      </c>
      <c r="G78" s="6" t="s">
        <v>52</v>
      </c>
      <c r="H78" s="7" t="s">
        <v>50</v>
      </c>
    </row>
    <row r="79" spans="1:8">
      <c r="A79" s="6" t="s">
        <v>82</v>
      </c>
      <c r="B79" s="9">
        <v>2024</v>
      </c>
      <c r="C79" s="10">
        <v>8525.379999999999</v>
      </c>
      <c r="D79" s="6" t="s">
        <v>83</v>
      </c>
      <c r="E79" s="6" t="s">
        <v>47</v>
      </c>
      <c r="F79" s="6" t="s">
        <v>53</v>
      </c>
      <c r="G79" s="6" t="s">
        <v>54</v>
      </c>
      <c r="H79" s="7" t="s">
        <v>50</v>
      </c>
    </row>
    <row r="80" spans="1:8">
      <c r="A80" s="6" t="s">
        <v>82</v>
      </c>
      <c r="B80" s="9">
        <v>2025</v>
      </c>
      <c r="C80" s="10">
        <v>9787.705</v>
      </c>
      <c r="D80" s="6" t="s">
        <v>83</v>
      </c>
      <c r="E80" s="6" t="s">
        <v>47</v>
      </c>
      <c r="F80" s="6" t="s">
        <v>53</v>
      </c>
      <c r="G80" s="6" t="s">
        <v>54</v>
      </c>
      <c r="H80" s="7" t="s">
        <v>50</v>
      </c>
    </row>
    <row r="81" spans="1:8">
      <c r="A81" s="6" t="s">
        <v>84</v>
      </c>
      <c r="B81" s="9">
        <v>2021</v>
      </c>
      <c r="C81" s="10">
        <v>0</v>
      </c>
      <c r="D81" s="6" t="s">
        <v>85</v>
      </c>
      <c r="E81" s="6"/>
      <c r="F81" s="6"/>
      <c r="G81" s="6"/>
      <c r="H81" s="5" t="s">
        <v>86</v>
      </c>
    </row>
    <row r="82" spans="1:8">
      <c r="A82" s="6" t="s">
        <v>84</v>
      </c>
      <c r="B82" s="9">
        <v>2022</v>
      </c>
      <c r="C82" s="10">
        <v>0</v>
      </c>
      <c r="D82" s="6" t="s">
        <v>85</v>
      </c>
      <c r="E82" s="6"/>
      <c r="F82" s="6"/>
      <c r="G82" s="6"/>
      <c r="H82" s="5" t="s">
        <v>86</v>
      </c>
    </row>
    <row r="83" spans="1:8">
      <c r="A83" s="6" t="s">
        <v>84</v>
      </c>
      <c r="B83" s="9">
        <v>2023</v>
      </c>
      <c r="C83" s="10">
        <v>0</v>
      </c>
      <c r="D83" s="6" t="s">
        <v>85</v>
      </c>
      <c r="E83" s="6"/>
      <c r="F83" s="6"/>
      <c r="G83" s="6"/>
      <c r="H83" s="5" t="s">
        <v>86</v>
      </c>
    </row>
    <row r="84" spans="1:8">
      <c r="A84" s="6" t="s">
        <v>84</v>
      </c>
      <c r="B84" s="9">
        <v>2024</v>
      </c>
      <c r="C84" s="10">
        <v>41.705</v>
      </c>
      <c r="D84" s="6" t="s">
        <v>85</v>
      </c>
      <c r="E84" s="6" t="s">
        <v>47</v>
      </c>
      <c r="F84" s="6" t="s">
        <v>53</v>
      </c>
      <c r="G84" s="6" t="s">
        <v>54</v>
      </c>
      <c r="H84" s="7" t="s">
        <v>50</v>
      </c>
    </row>
    <row r="85" spans="1:8">
      <c r="A85" s="6" t="s">
        <v>84</v>
      </c>
      <c r="B85" s="9">
        <v>2025</v>
      </c>
      <c r="C85" s="10">
        <v>943.54</v>
      </c>
      <c r="D85" s="6" t="s">
        <v>85</v>
      </c>
      <c r="E85" s="6" t="s">
        <v>47</v>
      </c>
      <c r="F85" s="6" t="s">
        <v>53</v>
      </c>
      <c r="G85" s="6" t="s">
        <v>54</v>
      </c>
      <c r="H85" s="7" t="s">
        <v>50</v>
      </c>
    </row>
    <row r="86" spans="1:8">
      <c r="A86" s="6" t="s">
        <v>87</v>
      </c>
      <c r="B86" s="9">
        <v>2021</v>
      </c>
      <c r="C86" s="10">
        <v>0</v>
      </c>
      <c r="D86" s="6" t="s">
        <v>88</v>
      </c>
      <c r="E86" s="6"/>
      <c r="F86" s="6"/>
      <c r="G86" s="6"/>
      <c r="H86" s="5" t="s">
        <v>86</v>
      </c>
    </row>
    <row r="87" spans="1:8">
      <c r="A87" s="6" t="s">
        <v>87</v>
      </c>
      <c r="B87" s="9">
        <v>2022</v>
      </c>
      <c r="C87" s="10">
        <v>0</v>
      </c>
      <c r="D87" s="6" t="s">
        <v>88</v>
      </c>
      <c r="E87" s="6"/>
      <c r="F87" s="6"/>
      <c r="G87" s="6"/>
      <c r="H87" s="5" t="s">
        <v>86</v>
      </c>
    </row>
    <row r="88" spans="1:8">
      <c r="A88" s="6" t="s">
        <v>87</v>
      </c>
      <c r="B88" s="9">
        <v>2023</v>
      </c>
      <c r="C88" s="10">
        <v>0</v>
      </c>
      <c r="D88" s="6" t="s">
        <v>88</v>
      </c>
      <c r="E88" s="6" t="s">
        <v>47</v>
      </c>
      <c r="F88" s="6" t="s">
        <v>51</v>
      </c>
      <c r="G88" s="6" t="s">
        <v>52</v>
      </c>
      <c r="H88" s="7" t="s">
        <v>50</v>
      </c>
    </row>
    <row r="89" spans="1:8">
      <c r="A89" s="6" t="s">
        <v>87</v>
      </c>
      <c r="B89" s="9">
        <v>2024</v>
      </c>
      <c r="C89" s="10">
        <v>0</v>
      </c>
      <c r="D89" s="6" t="s">
        <v>88</v>
      </c>
      <c r="E89" s="6" t="s">
        <v>47</v>
      </c>
      <c r="F89" s="6" t="s">
        <v>53</v>
      </c>
      <c r="G89" s="6" t="s">
        <v>54</v>
      </c>
      <c r="H89" s="7" t="s">
        <v>50</v>
      </c>
    </row>
    <row r="90" spans="1:8">
      <c r="A90" s="6" t="s">
        <v>87</v>
      </c>
      <c r="B90" s="9">
        <v>2025</v>
      </c>
      <c r="C90" s="10">
        <v>343</v>
      </c>
      <c r="D90" s="6" t="s">
        <v>88</v>
      </c>
      <c r="E90" s="6" t="s">
        <v>47</v>
      </c>
      <c r="F90" s="6" t="s">
        <v>53</v>
      </c>
      <c r="G90" s="6" t="s">
        <v>54</v>
      </c>
      <c r="H90" s="7" t="s">
        <v>50</v>
      </c>
    </row>
    <row r="91" spans="1:8">
      <c r="A91" s="6" t="s">
        <v>89</v>
      </c>
      <c r="B91" s="9">
        <v>2021</v>
      </c>
      <c r="C91" s="10">
        <v>0</v>
      </c>
      <c r="D91" s="6" t="s">
        <v>90</v>
      </c>
      <c r="E91" s="6" t="s">
        <v>47</v>
      </c>
      <c r="F91" s="6" t="s">
        <v>76</v>
      </c>
      <c r="G91" s="6" t="s">
        <v>77</v>
      </c>
      <c r="H91" s="7" t="s">
        <v>50</v>
      </c>
    </row>
    <row r="92" spans="1:8">
      <c r="A92" s="6" t="s">
        <v>89</v>
      </c>
      <c r="B92" s="9">
        <v>2022</v>
      </c>
      <c r="C92" s="10">
        <v>252.029</v>
      </c>
      <c r="D92" s="6" t="s">
        <v>90</v>
      </c>
      <c r="E92" s="6" t="s">
        <v>47</v>
      </c>
      <c r="F92" s="6" t="s">
        <v>48</v>
      </c>
      <c r="G92" s="6" t="s">
        <v>49</v>
      </c>
      <c r="H92" s="7" t="s">
        <v>50</v>
      </c>
    </row>
    <row r="93" spans="1:8">
      <c r="A93" s="6" t="s">
        <v>89</v>
      </c>
      <c r="B93" s="9">
        <v>2023</v>
      </c>
      <c r="C93" s="10">
        <v>355.298</v>
      </c>
      <c r="D93" s="6" t="s">
        <v>90</v>
      </c>
      <c r="E93" s="6" t="s">
        <v>47</v>
      </c>
      <c r="F93" s="6" t="s">
        <v>51</v>
      </c>
      <c r="G93" s="6" t="s">
        <v>52</v>
      </c>
      <c r="H93" s="7" t="s">
        <v>50</v>
      </c>
    </row>
    <row r="94" spans="1:8">
      <c r="A94" s="6" t="s">
        <v>89</v>
      </c>
      <c r="B94" s="9">
        <v>2024</v>
      </c>
      <c r="C94" s="10">
        <v>500</v>
      </c>
      <c r="D94" s="6" t="s">
        <v>90</v>
      </c>
      <c r="E94" s="6" t="s">
        <v>47</v>
      </c>
      <c r="F94" s="6" t="s">
        <v>53</v>
      </c>
      <c r="G94" s="6" t="s">
        <v>54</v>
      </c>
      <c r="H94" s="7" t="s">
        <v>50</v>
      </c>
    </row>
    <row r="95" spans="1:8">
      <c r="A95" s="6" t="s">
        <v>89</v>
      </c>
      <c r="B95" s="9">
        <v>2025</v>
      </c>
      <c r="C95" s="10">
        <v>353.788</v>
      </c>
      <c r="D95" s="6" t="s">
        <v>90</v>
      </c>
      <c r="E95" s="6" t="s">
        <v>47</v>
      </c>
      <c r="F95" s="6" t="s">
        <v>53</v>
      </c>
      <c r="G95" s="6" t="s">
        <v>54</v>
      </c>
      <c r="H95" s="7" t="s">
        <v>50</v>
      </c>
    </row>
    <row r="96" spans="1:8">
      <c r="A96" s="6" t="s">
        <v>91</v>
      </c>
      <c r="B96" s="9">
        <v>2021</v>
      </c>
      <c r="C96" s="10">
        <v>2409.363</v>
      </c>
      <c r="D96" s="6" t="s">
        <v>92</v>
      </c>
      <c r="E96" s="6" t="s">
        <v>47</v>
      </c>
      <c r="F96" s="6" t="s">
        <v>76</v>
      </c>
      <c r="G96" s="6" t="s">
        <v>77</v>
      </c>
      <c r="H96" s="7" t="s">
        <v>50</v>
      </c>
    </row>
    <row r="97" spans="1:8">
      <c r="A97" s="6" t="s">
        <v>91</v>
      </c>
      <c r="B97" s="9">
        <v>2022</v>
      </c>
      <c r="C97" s="10">
        <v>3076.794</v>
      </c>
      <c r="D97" s="6" t="s">
        <v>92</v>
      </c>
      <c r="E97" s="6" t="s">
        <v>47</v>
      </c>
      <c r="F97" s="6" t="s">
        <v>48</v>
      </c>
      <c r="G97" s="6" t="s">
        <v>49</v>
      </c>
      <c r="H97" s="7" t="s">
        <v>50</v>
      </c>
    </row>
    <row r="98" spans="1:8">
      <c r="A98" s="6" t="s">
        <v>91</v>
      </c>
      <c r="B98" s="9">
        <v>2023</v>
      </c>
      <c r="C98" s="10">
        <v>3550.93</v>
      </c>
      <c r="D98" s="6" t="s">
        <v>92</v>
      </c>
      <c r="E98" s="6" t="s">
        <v>47</v>
      </c>
      <c r="F98" s="6" t="s">
        <v>51</v>
      </c>
      <c r="G98" s="6" t="s">
        <v>52</v>
      </c>
      <c r="H98" s="7" t="s">
        <v>50</v>
      </c>
    </row>
    <row r="99" spans="1:8">
      <c r="A99" s="6" t="s">
        <v>91</v>
      </c>
      <c r="B99" s="9">
        <v>2024</v>
      </c>
      <c r="C99" s="10">
        <v>3742.64</v>
      </c>
      <c r="D99" s="6" t="s">
        <v>92</v>
      </c>
      <c r="E99" s="6" t="s">
        <v>47</v>
      </c>
      <c r="F99" s="6" t="s">
        <v>53</v>
      </c>
      <c r="G99" s="6" t="s">
        <v>54</v>
      </c>
      <c r="H99" s="7" t="s">
        <v>50</v>
      </c>
    </row>
    <row r="100" spans="1:8">
      <c r="A100" s="6" t="s">
        <v>91</v>
      </c>
      <c r="B100" s="9">
        <v>2025</v>
      </c>
      <c r="C100" s="10">
        <v>3498.423</v>
      </c>
      <c r="D100" s="6" t="s">
        <v>92</v>
      </c>
      <c r="E100" s="6" t="s">
        <v>47</v>
      </c>
      <c r="F100" s="6" t="s">
        <v>53</v>
      </c>
      <c r="G100" s="6" t="s">
        <v>54</v>
      </c>
      <c r="H100" s="7" t="s">
        <v>50</v>
      </c>
    </row>
    <row r="102" spans="1:8">
      <c r="A102" s="3" t="s">
        <v>93</v>
      </c>
    </row>
    <row r="103" spans="1:8">
      <c r="A103" s="5" t="s">
        <v>94</v>
      </c>
    </row>
  </sheetData>
  <hyperlinks>
    <hyperlink ref="A7" r:id="rId1"/>
    <hyperlink ref="A8" r:id="rId2"/>
    <hyperlink ref="H11" r:id="rId3"/>
    <hyperlink ref="H12" r:id="rId4"/>
    <hyperlink ref="H13" r:id="rId5"/>
    <hyperlink ref="H14" r:id="rId6"/>
    <hyperlink ref="H15" r:id="rId7"/>
    <hyperlink ref="H16" r:id="rId8"/>
    <hyperlink ref="H17" r:id="rId9"/>
    <hyperlink ref="H18" r:id="rId10"/>
    <hyperlink ref="H19" r:id="rId11"/>
    <hyperlink ref="H20" r:id="rId12"/>
    <hyperlink ref="H21" r:id="rId13"/>
    <hyperlink ref="H22" r:id="rId14"/>
    <hyperlink ref="H23" r:id="rId15"/>
    <hyperlink ref="H24" r:id="rId16"/>
    <hyperlink ref="H25" r:id="rId17"/>
    <hyperlink ref="H26" r:id="rId18"/>
    <hyperlink ref="H27" r:id="rId19"/>
    <hyperlink ref="H28" r:id="rId20"/>
    <hyperlink ref="H29" r:id="rId21"/>
    <hyperlink ref="H30" r:id="rId22"/>
    <hyperlink ref="H31" r:id="rId23"/>
    <hyperlink ref="H32" r:id="rId24"/>
    <hyperlink ref="H33" r:id="rId25"/>
    <hyperlink ref="H34" r:id="rId26"/>
    <hyperlink ref="H35" r:id="rId27"/>
    <hyperlink ref="H36" r:id="rId28"/>
    <hyperlink ref="H37" r:id="rId29"/>
    <hyperlink ref="H38" r:id="rId30"/>
    <hyperlink ref="H39" r:id="rId31"/>
    <hyperlink ref="H40" r:id="rId32"/>
    <hyperlink ref="H41" r:id="rId33"/>
    <hyperlink ref="H42" r:id="rId34"/>
    <hyperlink ref="H43" r:id="rId35"/>
    <hyperlink ref="H46" r:id="rId36"/>
    <hyperlink ref="H47" r:id="rId37"/>
    <hyperlink ref="H48" r:id="rId38"/>
    <hyperlink ref="H49" r:id="rId39"/>
    <hyperlink ref="H50" r:id="rId40"/>
    <hyperlink ref="H51" r:id="rId41"/>
    <hyperlink ref="H52" r:id="rId42"/>
    <hyperlink ref="H53" r:id="rId43"/>
    <hyperlink ref="H54" r:id="rId44"/>
    <hyperlink ref="H55" r:id="rId45"/>
    <hyperlink ref="H56" r:id="rId46"/>
    <hyperlink ref="H57" r:id="rId47"/>
    <hyperlink ref="H58" r:id="rId48"/>
    <hyperlink ref="H59" r:id="rId49"/>
    <hyperlink ref="H60" r:id="rId50"/>
    <hyperlink ref="H61" r:id="rId51"/>
    <hyperlink ref="H62" r:id="rId52"/>
    <hyperlink ref="H63" r:id="rId53"/>
    <hyperlink ref="H64" r:id="rId54"/>
    <hyperlink ref="H65" r:id="rId55"/>
    <hyperlink ref="H66" r:id="rId56"/>
    <hyperlink ref="H67" r:id="rId57"/>
    <hyperlink ref="H68" r:id="rId58"/>
    <hyperlink ref="H69" r:id="rId59"/>
    <hyperlink ref="H70" r:id="rId60"/>
    <hyperlink ref="H71" r:id="rId61"/>
    <hyperlink ref="H72" r:id="rId62"/>
    <hyperlink ref="H73" r:id="rId63"/>
    <hyperlink ref="H74" r:id="rId64"/>
    <hyperlink ref="H75" r:id="rId65"/>
    <hyperlink ref="H76" r:id="rId66"/>
    <hyperlink ref="H77" r:id="rId67"/>
    <hyperlink ref="H78" r:id="rId68"/>
    <hyperlink ref="H79" r:id="rId69"/>
    <hyperlink ref="H80" r:id="rId70"/>
    <hyperlink ref="H84" r:id="rId71"/>
    <hyperlink ref="H85" r:id="rId72"/>
    <hyperlink ref="H88" r:id="rId73"/>
    <hyperlink ref="H89" r:id="rId74"/>
    <hyperlink ref="H90" r:id="rId75"/>
    <hyperlink ref="H91" r:id="rId76"/>
    <hyperlink ref="H92" r:id="rId77"/>
    <hyperlink ref="H93" r:id="rId78"/>
    <hyperlink ref="H94" r:id="rId79"/>
    <hyperlink ref="H95" r:id="rId80"/>
    <hyperlink ref="H96" r:id="rId81"/>
    <hyperlink ref="H97" r:id="rId82"/>
    <hyperlink ref="H98" r:id="rId83"/>
    <hyperlink ref="H99" r:id="rId84"/>
    <hyperlink ref="H100" r:id="rId8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4.7109375" customWidth="1"/>
    <col min="2" max="6" width="15.7109375" customWidth="1"/>
    <col min="7" max="7" width="38.7109375" customWidth="1"/>
  </cols>
  <sheetData>
    <row r="1" spans="1:7">
      <c r="A1" s="1" t="s">
        <v>8</v>
      </c>
    </row>
    <row r="2" spans="1:7">
      <c r="A2" s="2" t="s">
        <v>95</v>
      </c>
    </row>
    <row r="4" spans="1:7">
      <c r="A4" s="8" t="s">
        <v>96</v>
      </c>
      <c r="B4" s="8">
        <v>2021</v>
      </c>
      <c r="C4" s="8">
        <v>2022</v>
      </c>
      <c r="D4" s="8">
        <v>2023</v>
      </c>
      <c r="E4" s="8">
        <v>2024</v>
      </c>
      <c r="F4" s="8">
        <v>2025</v>
      </c>
      <c r="G4" s="8" t="s">
        <v>97</v>
      </c>
    </row>
    <row r="5" spans="1:7">
      <c r="A5" s="6" t="s">
        <v>45</v>
      </c>
      <c r="B5" s="10">
        <v>18870.51</v>
      </c>
      <c r="C5" s="10">
        <v>22095.973</v>
      </c>
      <c r="D5" s="10">
        <v>23090.61</v>
      </c>
      <c r="E5" s="10">
        <v>23486.569</v>
      </c>
      <c r="F5" s="10">
        <v>24300.141</v>
      </c>
    </row>
    <row r="6" spans="1:7">
      <c r="A6" s="6" t="s">
        <v>98</v>
      </c>
      <c r="B6" s="11"/>
      <c r="C6" s="11">
        <f>C5/B5-1</f>
        <v>0.17092611699418847</v>
      </c>
      <c r="D6" s="11">
        <f>D5/C5-1</f>
        <v>0.04501440149297786</v>
      </c>
      <c r="E6" s="11">
        <f>E5/D5-1</f>
        <v>0.017148052823203752</v>
      </c>
      <c r="F6" s="11">
        <f>F5/E5-1</f>
        <v>0.034639882904991426</v>
      </c>
    </row>
    <row r="7" spans="1:7">
      <c r="A7" s="6" t="s">
        <v>55</v>
      </c>
      <c r="B7" s="10">
        <v>1200.346</v>
      </c>
      <c r="C7" s="10">
        <v>1572.602</v>
      </c>
      <c r="D7" s="10">
        <v>1742.348</v>
      </c>
      <c r="E7" s="10">
        <v>1175.968</v>
      </c>
      <c r="F7" s="10">
        <v>52.168</v>
      </c>
    </row>
    <row r="8" spans="1:7">
      <c r="A8" s="6" t="s">
        <v>99</v>
      </c>
      <c r="B8" s="10">
        <v>62.15</v>
      </c>
      <c r="C8" s="10">
        <v>73.887</v>
      </c>
      <c r="D8" s="10">
        <v>64.46899999999999</v>
      </c>
      <c r="E8" s="10">
        <v>124.977</v>
      </c>
      <c r="F8" s="10">
        <v>191.334</v>
      </c>
      <c r="G8" s="5" t="s">
        <v>100</v>
      </c>
    </row>
    <row r="9" spans="1:7">
      <c r="A9" s="6" t="s">
        <v>101</v>
      </c>
      <c r="B9" s="10">
        <v>290.971</v>
      </c>
      <c r="C9" s="10">
        <v>347.819</v>
      </c>
      <c r="D9" s="10">
        <v>350.529</v>
      </c>
      <c r="E9" s="10">
        <v>407.978</v>
      </c>
      <c r="F9" s="10">
        <v>538.023</v>
      </c>
    </row>
    <row r="10" spans="1:7">
      <c r="A10" s="6" t="s">
        <v>102</v>
      </c>
      <c r="B10" s="12">
        <f>B7+B8+B9</f>
        <v>1553.467</v>
      </c>
      <c r="C10" s="12">
        <f>C7+C8+C9</f>
        <v>1994.308</v>
      </c>
      <c r="D10" s="12">
        <f>D7+D8+D9</f>
        <v>2157.346</v>
      </c>
      <c r="E10" s="12">
        <f>E7+E8+E9</f>
        <v>1708.9230000000002</v>
      </c>
      <c r="F10" s="12">
        <f>F7+F8+F9</f>
        <v>781.5250000000001</v>
      </c>
      <c r="G10" s="5" t="s">
        <v>103</v>
      </c>
    </row>
    <row r="11" spans="1:7">
      <c r="A11" s="6" t="s">
        <v>104</v>
      </c>
      <c r="B11" s="11">
        <f>B10/B5</f>
        <v>0.0823224703518877</v>
      </c>
      <c r="C11" s="11">
        <f>C10/C5</f>
        <v>0.09025662730489396</v>
      </c>
      <c r="D11" s="11">
        <f>D10/D5</f>
        <v>0.09342958024928748</v>
      </c>
      <c r="E11" s="11">
        <f>E10/E5</f>
        <v>0.07276171330090829</v>
      </c>
      <c r="F11" s="11">
        <f>F10/F5</f>
        <v>0.03216133601858524</v>
      </c>
    </row>
    <row r="12" spans="1:7">
      <c r="A12" s="6" t="s">
        <v>59</v>
      </c>
      <c r="B12" s="10">
        <v>898.79</v>
      </c>
      <c r="C12" s="10">
        <v>1182.701</v>
      </c>
      <c r="D12" s="10">
        <v>1316.524</v>
      </c>
      <c r="E12" s="10">
        <v>904.076</v>
      </c>
      <c r="F12" s="10">
        <v>65.94499999999999</v>
      </c>
    </row>
    <row r="13" spans="1:7">
      <c r="A13" s="6" t="s">
        <v>105</v>
      </c>
      <c r="B13" s="10">
        <v>1258.285</v>
      </c>
      <c r="C13" s="10">
        <v>1466.971</v>
      </c>
      <c r="D13" s="10">
        <v>1435.61</v>
      </c>
      <c r="E13" s="10">
        <v>1251.251</v>
      </c>
      <c r="F13" s="10">
        <v>890.7619999999999</v>
      </c>
    </row>
    <row r="14" spans="1:7">
      <c r="A14" s="6" t="s">
        <v>63</v>
      </c>
      <c r="B14" s="10">
        <v>266.136</v>
      </c>
      <c r="C14" s="10">
        <v>339.632</v>
      </c>
      <c r="D14" s="10">
        <v>512.675</v>
      </c>
      <c r="E14" s="10">
        <v>567.3390000000001</v>
      </c>
      <c r="F14" s="10">
        <v>469.838</v>
      </c>
    </row>
    <row r="15" spans="1:7">
      <c r="A15" s="6" t="s">
        <v>106</v>
      </c>
      <c r="B15" s="12">
        <f>B13-B14</f>
        <v>992.1490000000001</v>
      </c>
      <c r="C15" s="12">
        <f>C13-C14</f>
        <v>1127.339</v>
      </c>
      <c r="D15" s="12">
        <f>D13-D14</f>
        <v>922.935</v>
      </c>
      <c r="E15" s="12">
        <f>E13-E14</f>
        <v>683.9119999999999</v>
      </c>
      <c r="F15" s="12">
        <f>F13-F14</f>
        <v>420.9239999999999</v>
      </c>
    </row>
    <row r="16" spans="1:7">
      <c r="A16" s="6" t="s">
        <v>107</v>
      </c>
      <c r="B16" s="10">
        <v>1797.955</v>
      </c>
      <c r="C16" s="10">
        <v>2188.868</v>
      </c>
      <c r="D16" s="10">
        <v>2223.431</v>
      </c>
      <c r="E16" s="10">
        <v>2182.856</v>
      </c>
      <c r="F16" s="10">
        <v>2370.939</v>
      </c>
    </row>
    <row r="17" spans="1:7">
      <c r="A17" s="6" t="s">
        <v>108</v>
      </c>
      <c r="B17" s="10">
        <v>3889.919</v>
      </c>
      <c r="C17" s="10">
        <v>4441.649</v>
      </c>
      <c r="D17" s="10">
        <v>4676.686</v>
      </c>
      <c r="E17" s="10">
        <v>5514.427</v>
      </c>
      <c r="F17" s="10">
        <v>6071.996</v>
      </c>
    </row>
    <row r="18" spans="1:7">
      <c r="A18" s="6" t="s">
        <v>109</v>
      </c>
      <c r="B18" s="10">
        <v>714.701</v>
      </c>
      <c r="C18" s="10">
        <v>653.463</v>
      </c>
      <c r="D18" s="10">
        <v>1102.007</v>
      </c>
      <c r="E18" s="10">
        <v>479.991</v>
      </c>
      <c r="F18" s="10">
        <v>477.179</v>
      </c>
    </row>
    <row r="19" spans="1:7">
      <c r="A19" s="6" t="s">
        <v>80</v>
      </c>
      <c r="B19" s="10">
        <v>7756.422</v>
      </c>
      <c r="C19" s="10">
        <v>8816.739</v>
      </c>
      <c r="D19" s="10">
        <v>9605.852000000001</v>
      </c>
      <c r="E19" s="10">
        <v>9852.584000000001</v>
      </c>
      <c r="F19" s="10">
        <v>10564.734</v>
      </c>
    </row>
    <row r="20" spans="1:7">
      <c r="A20" s="6" t="s">
        <v>82</v>
      </c>
      <c r="B20" s="10">
        <v>6581.583</v>
      </c>
      <c r="C20" s="10">
        <v>7686.11</v>
      </c>
      <c r="D20" s="10">
        <v>7827.109</v>
      </c>
      <c r="E20" s="10">
        <v>8525.379999999999</v>
      </c>
      <c r="F20" s="10">
        <v>9787.705</v>
      </c>
    </row>
    <row r="21" spans="1:7">
      <c r="A21" s="6" t="s">
        <v>84</v>
      </c>
      <c r="B21" s="10">
        <v>0</v>
      </c>
      <c r="C21" s="10">
        <v>0</v>
      </c>
      <c r="D21" s="10">
        <v>0</v>
      </c>
      <c r="E21" s="10">
        <v>41.705</v>
      </c>
      <c r="F21" s="10">
        <v>943.54</v>
      </c>
    </row>
    <row r="22" spans="1:7">
      <c r="A22" s="6" t="s">
        <v>87</v>
      </c>
      <c r="B22" s="10">
        <v>0</v>
      </c>
      <c r="C22" s="10">
        <v>0</v>
      </c>
      <c r="D22" s="10">
        <v>0</v>
      </c>
      <c r="E22" s="10">
        <v>0</v>
      </c>
      <c r="F22" s="10">
        <v>343</v>
      </c>
    </row>
    <row r="23" spans="1:7">
      <c r="A23" s="6" t="s">
        <v>89</v>
      </c>
      <c r="B23" s="10">
        <v>0</v>
      </c>
      <c r="C23" s="10">
        <v>252.029</v>
      </c>
      <c r="D23" s="10">
        <v>355.298</v>
      </c>
      <c r="E23" s="10">
        <v>500</v>
      </c>
      <c r="F23" s="10">
        <v>353.788</v>
      </c>
    </row>
    <row r="24" spans="1:7">
      <c r="A24" s="6" t="s">
        <v>91</v>
      </c>
      <c r="B24" s="10">
        <v>2409.363</v>
      </c>
      <c r="C24" s="10">
        <v>3076.794</v>
      </c>
      <c r="D24" s="10">
        <v>3550.93</v>
      </c>
      <c r="E24" s="10">
        <v>3742.64</v>
      </c>
      <c r="F24" s="10">
        <v>3498.423</v>
      </c>
    </row>
    <row r="25" spans="1:7">
      <c r="A25" s="6" t="s">
        <v>110</v>
      </c>
      <c r="B25" s="12">
        <f>SUM(B21:B24)</f>
        <v>2409.363</v>
      </c>
      <c r="C25" s="12">
        <f>SUM(C21:C24)</f>
        <v>3328.823</v>
      </c>
      <c r="D25" s="12">
        <f>SUM(D21:D24)</f>
        <v>3906.228</v>
      </c>
      <c r="E25" s="12">
        <f>SUM(E21:E24)</f>
        <v>4284.345</v>
      </c>
      <c r="F25" s="12">
        <f>SUM(F21:F24)</f>
        <v>5138.751</v>
      </c>
    </row>
    <row r="26" spans="1:7">
      <c r="A26" s="6" t="s">
        <v>111</v>
      </c>
      <c r="B26" s="12">
        <f>B25-B18</f>
        <v>1694.6619999999998</v>
      </c>
      <c r="C26" s="12">
        <f>C25-C18</f>
        <v>2675.3599999999997</v>
      </c>
      <c r="D26" s="12">
        <f>D25-D18</f>
        <v>2804.221</v>
      </c>
      <c r="E26" s="12">
        <f>E25-E18</f>
        <v>3804.3540000000003</v>
      </c>
      <c r="F26" s="12">
        <f>F25-F18</f>
        <v>4661.572</v>
      </c>
    </row>
    <row r="27" spans="1:7">
      <c r="A27" s="6" t="s">
        <v>112</v>
      </c>
      <c r="B27" s="13">
        <f>B19/B20</f>
        <v>1.1785040164349518</v>
      </c>
      <c r="C27" s="13">
        <f>C19/C20</f>
        <v>1.1471002887026076</v>
      </c>
      <c r="D27" s="13">
        <f>D19/D20</f>
        <v>1.2272541496483569</v>
      </c>
      <c r="E27" s="13">
        <f>E19/E20</f>
        <v>1.155676814405927</v>
      </c>
      <c r="F27" s="13">
        <f>F19/F20</f>
        <v>1.079388273349064</v>
      </c>
    </row>
    <row r="28" spans="1:7">
      <c r="A28" s="6" t="s">
        <v>113</v>
      </c>
      <c r="B28" s="13">
        <f>(B18+B16)/B20</f>
        <v>0.38177076852179787</v>
      </c>
      <c r="C28" s="13">
        <f>(C18+C16)/C20</f>
        <v>0.36980097864849715</v>
      </c>
      <c r="D28" s="13">
        <f>(D18+D16)/D20</f>
        <v>0.4248615932140462</v>
      </c>
      <c r="E28" s="13">
        <f>(E18+E16)/E20</f>
        <v>0.31234349671217004</v>
      </c>
      <c r="F28" s="13">
        <f>(F18+F16)/F20</f>
        <v>0.29098935858814706</v>
      </c>
    </row>
    <row r="29" spans="1:7">
      <c r="A29" s="6" t="s">
        <v>114</v>
      </c>
      <c r="B29" s="9">
        <f>B16/B5*365</f>
        <v>34.776674027358034</v>
      </c>
      <c r="C29" s="9">
        <f>C16/C5*365</f>
        <v>36.15757586235283</v>
      </c>
      <c r="D29" s="9">
        <f>D16/D5*365</f>
        <v>35.14642164065826</v>
      </c>
      <c r="E29" s="9">
        <f>E16/E5*365</f>
        <v>33.92332187813385</v>
      </c>
      <c r="F29" s="9">
        <f>F16/F5*365</f>
        <v>35.61266311170787</v>
      </c>
    </row>
    <row r="30" spans="1:7">
      <c r="A30" s="6" t="s">
        <v>115</v>
      </c>
      <c r="B30" s="9">
        <f>B17/B5*365</f>
        <v>75.24017289410833</v>
      </c>
      <c r="C30" s="9">
        <f>C17/C5*365</f>
        <v>73.37092080081742</v>
      </c>
      <c r="D30" s="9">
        <f>D17/D5*365</f>
        <v>73.92573821133351</v>
      </c>
      <c r="E30" s="9">
        <f>E17/E5*365</f>
        <v>85.6985903304991</v>
      </c>
      <c r="F30" s="9">
        <f>F17/F5*365</f>
        <v>91.2043489788804</v>
      </c>
    </row>
    <row r="31" spans="1:7">
      <c r="A31" s="6" t="s">
        <v>116</v>
      </c>
      <c r="B31" s="9">
        <f>B20/B5*365</f>
        <v>127.3032787667106</v>
      </c>
      <c r="C31" s="9">
        <f>C20/C5*365</f>
        <v>126.96567605327901</v>
      </c>
      <c r="D31" s="9">
        <f>D20/D5*365</f>
        <v>123.725392486383</v>
      </c>
      <c r="E31" s="9">
        <f>E20/E5*365</f>
        <v>132.491199544727</v>
      </c>
      <c r="F31" s="9">
        <f>F20/F5*365</f>
        <v>147.01611505052585</v>
      </c>
    </row>
    <row r="32" spans="1:7">
      <c r="A32" s="6" t="s">
        <v>117</v>
      </c>
      <c r="B32" s="14">
        <f>B29+B30-B31</f>
        <v>-17.286431845244238</v>
      </c>
      <c r="C32" s="14">
        <f>C29+C30-C31</f>
        <v>-17.437179390108767</v>
      </c>
      <c r="D32" s="14">
        <f>D29+D30-D31</f>
        <v>-14.65323263439123</v>
      </c>
      <c r="E32" s="14">
        <f>E29+E30-E31</f>
        <v>-12.869287336094061</v>
      </c>
      <c r="F32" s="14">
        <f>F29+F30-F31</f>
        <v>-20.19910295993759</v>
      </c>
      <c r="G32" s="5" t="s">
        <v>103</v>
      </c>
    </row>
    <row r="33" spans="1:6">
      <c r="A33" s="6" t="s">
        <v>118</v>
      </c>
      <c r="B33" s="13">
        <f>B25/B10</f>
        <v>1.5509585977687326</v>
      </c>
      <c r="C33" s="13">
        <f>C25/C10</f>
        <v>1.6691619348666304</v>
      </c>
      <c r="D33" s="13">
        <f>D25/D10</f>
        <v>1.8106636580316742</v>
      </c>
      <c r="E33" s="13">
        <f>E25/E10</f>
        <v>2.507043910111807</v>
      </c>
      <c r="F33" s="13">
        <f>F25/F10</f>
        <v>6.575286779053773</v>
      </c>
    </row>
    <row r="34" spans="1:6">
      <c r="A34" s="6" t="s">
        <v>119</v>
      </c>
      <c r="B34" s="13">
        <f>B10/B8</f>
        <v>24.995446500402256</v>
      </c>
      <c r="C34" s="13">
        <f>C10/C8</f>
        <v>26.991324590252685</v>
      </c>
      <c r="D34" s="13">
        <f>D10/D8</f>
        <v>33.46330794645489</v>
      </c>
      <c r="E34" s="13">
        <f>E10/E8</f>
        <v>13.673899997599559</v>
      </c>
      <c r="F34" s="13">
        <f>F10/F8</f>
        <v>4.084611203445284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4.7109375" customWidth="1"/>
    <col min="2" max="4" width="15.7109375" customWidth="1"/>
    <col min="5" max="5" width="58.7109375" customWidth="1"/>
  </cols>
  <sheetData>
    <row r="1" spans="1:5">
      <c r="A1" s="1" t="s">
        <v>10</v>
      </c>
    </row>
    <row r="2" spans="1:5">
      <c r="A2" s="2" t="s">
        <v>120</v>
      </c>
    </row>
    <row r="4" spans="1:5">
      <c r="A4" s="8" t="s">
        <v>121</v>
      </c>
      <c r="B4" s="8" t="s">
        <v>122</v>
      </c>
      <c r="C4" s="8" t="s">
        <v>123</v>
      </c>
      <c r="D4" s="8" t="s">
        <v>124</v>
      </c>
      <c r="E4" s="8" t="s">
        <v>125</v>
      </c>
    </row>
    <row r="5" spans="1:5">
      <c r="A5" s="6" t="s">
        <v>126</v>
      </c>
      <c r="B5" s="15">
        <v>0.02</v>
      </c>
      <c r="C5" s="15">
        <v>-0.08</v>
      </c>
      <c r="D5" s="15">
        <v>-0.18</v>
      </c>
      <c r="E5" s="5" t="s">
        <v>127</v>
      </c>
    </row>
    <row r="6" spans="1:5">
      <c r="A6" s="6" t="s">
        <v>128</v>
      </c>
      <c r="B6" s="15">
        <v>0</v>
      </c>
      <c r="C6" s="15">
        <v>-0.015</v>
      </c>
      <c r="D6" s="15">
        <v>-0.03</v>
      </c>
      <c r="E6" s="5" t="s">
        <v>129</v>
      </c>
    </row>
    <row r="7" spans="1:5">
      <c r="A7" s="6" t="s">
        <v>130</v>
      </c>
      <c r="B7" s="15">
        <v>0.92</v>
      </c>
      <c r="C7" s="15">
        <v>0.87</v>
      </c>
      <c r="D7" s="15">
        <v>0.8</v>
      </c>
      <c r="E7" s="5" t="s">
        <v>131</v>
      </c>
    </row>
    <row r="8" spans="1:5">
      <c r="A8" s="6" t="s">
        <v>132</v>
      </c>
      <c r="B8" s="15">
        <v>0.85</v>
      </c>
      <c r="C8" s="15">
        <v>0.825</v>
      </c>
      <c r="D8" s="15">
        <v>0.8</v>
      </c>
      <c r="E8" s="5" t="s">
        <v>133</v>
      </c>
    </row>
    <row r="9" spans="1:5">
      <c r="A9" s="6" t="s">
        <v>134</v>
      </c>
      <c r="B9" s="15">
        <v>0.02</v>
      </c>
      <c r="C9" s="15">
        <v>0.08</v>
      </c>
      <c r="D9" s="15">
        <v>0.12</v>
      </c>
      <c r="E9" s="5" t="s">
        <v>135</v>
      </c>
    </row>
    <row r="10" spans="1:5">
      <c r="A10" s="6" t="s">
        <v>136</v>
      </c>
      <c r="B10" s="15">
        <v>0.75</v>
      </c>
      <c r="C10" s="15">
        <v>0.65</v>
      </c>
      <c r="D10" s="15">
        <v>0.55</v>
      </c>
      <c r="E10" s="5" t="s">
        <v>137</v>
      </c>
    </row>
    <row r="11" spans="1:5">
      <c r="A11" s="6" t="s">
        <v>138</v>
      </c>
      <c r="B11" s="15">
        <v>0.5</v>
      </c>
      <c r="C11" s="15">
        <v>0.45</v>
      </c>
      <c r="D11" s="15">
        <v>0.4</v>
      </c>
      <c r="E11" s="5" t="s">
        <v>139</v>
      </c>
    </row>
    <row r="12" spans="1:5">
      <c r="A12" s="6" t="s">
        <v>140</v>
      </c>
      <c r="B12" s="15">
        <v>0.02</v>
      </c>
      <c r="C12" s="15">
        <v>0.035</v>
      </c>
      <c r="D12" s="15">
        <v>0.05</v>
      </c>
      <c r="E12" s="5" t="s">
        <v>141</v>
      </c>
    </row>
    <row r="13" spans="1:5">
      <c r="A13" s="6" t="s">
        <v>142</v>
      </c>
      <c r="B13" s="15">
        <v>0.015</v>
      </c>
      <c r="C13" s="15">
        <v>0.03</v>
      </c>
      <c r="D13" s="15">
        <v>0.05</v>
      </c>
      <c r="E13" s="5" t="s">
        <v>143</v>
      </c>
    </row>
    <row r="14" spans="1:5">
      <c r="A14" s="6" t="s">
        <v>144</v>
      </c>
      <c r="B14" s="16">
        <v>150</v>
      </c>
      <c r="C14" s="16">
        <v>250</v>
      </c>
      <c r="D14" s="16">
        <v>350</v>
      </c>
      <c r="E14" s="5" t="s">
        <v>145</v>
      </c>
    </row>
    <row r="15" spans="1:5">
      <c r="A15" s="6" t="s">
        <v>146</v>
      </c>
      <c r="B15" s="16">
        <v>100</v>
      </c>
      <c r="C15" s="16">
        <v>150</v>
      </c>
      <c r="D15" s="16">
        <v>200</v>
      </c>
      <c r="E15" s="5" t="s">
        <v>147</v>
      </c>
    </row>
    <row r="16" spans="1:5">
      <c r="A16" s="6" t="s">
        <v>148</v>
      </c>
      <c r="B16" s="15">
        <v>0</v>
      </c>
      <c r="C16" s="15">
        <v>0.1</v>
      </c>
      <c r="D16" s="15">
        <v>0.2</v>
      </c>
      <c r="E16" s="5" t="s">
        <v>149</v>
      </c>
    </row>
    <row r="17" spans="1:5">
      <c r="A17" s="6" t="s">
        <v>150</v>
      </c>
      <c r="B17" s="15">
        <v>0</v>
      </c>
      <c r="C17" s="15">
        <v>0.01</v>
      </c>
      <c r="D17" s="15">
        <v>0.025</v>
      </c>
      <c r="E17" s="5" t="s">
        <v>151</v>
      </c>
    </row>
    <row r="18" spans="1:5">
      <c r="A18" s="6" t="s">
        <v>152</v>
      </c>
      <c r="B18" s="15">
        <v>0.7</v>
      </c>
      <c r="C18" s="15">
        <v>0.55</v>
      </c>
      <c r="D18" s="15">
        <v>0.35</v>
      </c>
      <c r="E18" s="5" t="s">
        <v>153</v>
      </c>
    </row>
    <row r="19" spans="1:5">
      <c r="A19" s="6" t="s">
        <v>154</v>
      </c>
      <c r="B19" s="15">
        <v>0.02</v>
      </c>
      <c r="C19" s="15">
        <v>0.022</v>
      </c>
      <c r="D19" s="15">
        <v>0.025</v>
      </c>
      <c r="E19" s="5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"/>
  <sheetViews>
    <sheetView showGridLines="0" zoomScale="90" zoomScaleNormal="90" workbookViewId="0"/>
  </sheetViews>
  <sheetFormatPr defaultRowHeight="15"/>
  <cols>
    <col min="1" max="1" width="26.7109375" customWidth="1"/>
    <col min="2" max="7" width="16.7109375" customWidth="1"/>
    <col min="8" max="8" width="44.7109375" customWidth="1"/>
  </cols>
  <sheetData>
    <row r="1" spans="1:8">
      <c r="A1" s="1" t="s">
        <v>156</v>
      </c>
    </row>
    <row r="2" spans="1:8">
      <c r="A2" s="2" t="s">
        <v>157</v>
      </c>
    </row>
    <row r="4" spans="1:8">
      <c r="A4" s="6" t="s">
        <v>158</v>
      </c>
      <c r="B4" s="10">
        <f>'Historical Financials'!F16</f>
        <v>2370.939</v>
      </c>
    </row>
    <row r="6" spans="1:8">
      <c r="A6" s="8" t="s">
        <v>159</v>
      </c>
      <c r="B6" s="8" t="s">
        <v>160</v>
      </c>
      <c r="C6" s="8" t="s">
        <v>161</v>
      </c>
      <c r="D6" s="8" t="s">
        <v>162</v>
      </c>
      <c r="E6" s="8" t="s">
        <v>163</v>
      </c>
      <c r="F6" s="8" t="s">
        <v>164</v>
      </c>
      <c r="G6" s="8" t="s">
        <v>165</v>
      </c>
      <c r="H6" s="8" t="s">
        <v>166</v>
      </c>
    </row>
    <row r="7" spans="1:8">
      <c r="A7" s="6" t="s">
        <v>167</v>
      </c>
      <c r="B7" s="15">
        <v>0.58</v>
      </c>
      <c r="C7" s="10">
        <f>$B$4*B7</f>
        <v>1375.1446199999998</v>
      </c>
      <c r="D7" s="15">
        <v>0</v>
      </c>
      <c r="E7" s="10">
        <f>C7*(1-D7)</f>
        <v>1375.1446199999998</v>
      </c>
      <c r="F7" s="11">
        <f>'ABL Assumptions'!B7</f>
        <v>0.85</v>
      </c>
      <c r="G7" s="10">
        <f>E7*F7</f>
        <v>1168.872927</v>
      </c>
      <c r="H7" s="5" t="s">
        <v>168</v>
      </c>
    </row>
    <row r="8" spans="1:8">
      <c r="A8" s="6" t="s">
        <v>169</v>
      </c>
      <c r="B8" s="15">
        <v>0.2</v>
      </c>
      <c r="C8" s="10">
        <f>$B$4*B8</f>
        <v>474.1878</v>
      </c>
      <c r="D8" s="15">
        <v>0</v>
      </c>
      <c r="E8" s="10">
        <f>C8*(1-D8)</f>
        <v>474.1878</v>
      </c>
      <c r="F8" s="11">
        <f>'ABL Assumptions'!B7</f>
        <v>0.85</v>
      </c>
      <c r="G8" s="10">
        <f>E8*F8</f>
        <v>403.05962999999997</v>
      </c>
      <c r="H8" s="5" t="s">
        <v>170</v>
      </c>
    </row>
    <row r="9" spans="1:8">
      <c r="A9" s="6" t="s">
        <v>171</v>
      </c>
      <c r="B9" s="15">
        <v>0.1</v>
      </c>
      <c r="C9" s="10">
        <f>$B$4*B9</f>
        <v>237.0939</v>
      </c>
      <c r="D9" s="15">
        <v>0.1</v>
      </c>
      <c r="E9" s="10">
        <f>C9*(1-D9)</f>
        <v>213.38451</v>
      </c>
      <c r="F9" s="11">
        <f>'ABL Assumptions'!B7</f>
        <v>0.85</v>
      </c>
      <c r="G9" s="10">
        <f>E9*F9</f>
        <v>181.3768335</v>
      </c>
      <c r="H9" s="5" t="s">
        <v>172</v>
      </c>
    </row>
    <row r="10" spans="1:8">
      <c r="A10" s="6" t="s">
        <v>173</v>
      </c>
      <c r="B10" s="15">
        <v>0.05</v>
      </c>
      <c r="C10" s="10">
        <f>$B$4*B10</f>
        <v>118.54695</v>
      </c>
      <c r="D10" s="15">
        <v>0.25</v>
      </c>
      <c r="E10" s="10">
        <f>C10*(1-D10)</f>
        <v>88.9102125</v>
      </c>
      <c r="F10" s="11">
        <f>'ABL Assumptions'!B7</f>
        <v>0.85</v>
      </c>
      <c r="G10" s="10">
        <f>E10*F10</f>
        <v>75.573680625</v>
      </c>
      <c r="H10" s="5" t="s">
        <v>174</v>
      </c>
    </row>
    <row r="11" spans="1:8">
      <c r="A11" s="6" t="s">
        <v>175</v>
      </c>
      <c r="B11" s="15">
        <v>0.04</v>
      </c>
      <c r="C11" s="10">
        <f>$B$4*B11</f>
        <v>94.83756</v>
      </c>
      <c r="D11" s="15">
        <v>1</v>
      </c>
      <c r="E11" s="10">
        <f>C11*(1-D11)</f>
        <v>0.0</v>
      </c>
      <c r="F11" s="11">
        <f>'ABL Assumptions'!B7</f>
        <v>0.85</v>
      </c>
      <c r="G11" s="10">
        <f>E11*F11</f>
        <v>0.0</v>
      </c>
      <c r="H11" s="5" t="s">
        <v>176</v>
      </c>
    </row>
    <row r="12" spans="1:8">
      <c r="A12" s="6" t="s">
        <v>177</v>
      </c>
      <c r="B12" s="15">
        <v>0.02</v>
      </c>
      <c r="C12" s="10">
        <f>$B$4*B12</f>
        <v>47.41878</v>
      </c>
      <c r="D12" s="15">
        <v>1</v>
      </c>
      <c r="E12" s="10">
        <f>C12*(1-D12)</f>
        <v>0.0</v>
      </c>
      <c r="F12" s="11">
        <f>'ABL Assumptions'!B7</f>
        <v>0.85</v>
      </c>
      <c r="G12" s="10">
        <f>E12*F12</f>
        <v>0.0</v>
      </c>
      <c r="H12" s="5" t="s">
        <v>178</v>
      </c>
    </row>
    <row r="13" spans="1:8">
      <c r="A13" s="6" t="s">
        <v>179</v>
      </c>
      <c r="B13" s="15">
        <v>0.01</v>
      </c>
      <c r="C13" s="10">
        <f>$B$4*B13</f>
        <v>23.70939</v>
      </c>
      <c r="D13" s="15">
        <v>1</v>
      </c>
      <c r="E13" s="10">
        <f>C13*(1-D13)</f>
        <v>0.0</v>
      </c>
      <c r="F13" s="11">
        <f>'ABL Assumptions'!B7</f>
        <v>0.85</v>
      </c>
      <c r="G13" s="10">
        <f>E13*F13</f>
        <v>0.0</v>
      </c>
      <c r="H13" s="5" t="s">
        <v>180</v>
      </c>
    </row>
    <row r="14" spans="1:8">
      <c r="A14" s="6" t="s">
        <v>181</v>
      </c>
      <c r="B14" s="17">
        <f>SUM(B7:B13)</f>
        <v>1.0</v>
      </c>
      <c r="C14" s="12">
        <f>SUM(C7:C13)</f>
        <v>2370.939</v>
      </c>
      <c r="E14" s="12">
        <f>SUM(E7:E13)</f>
        <v>2175.3365325</v>
      </c>
      <c r="G14" s="12">
        <f>SUM(G7:G13)</f>
        <v>1849.036052625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5"/>
  <sheetViews>
    <sheetView showGridLines="0" zoomScale="90" zoomScaleNormal="90" workbookViewId="0"/>
  </sheetViews>
  <sheetFormatPr defaultRowHeight="15"/>
  <cols>
    <col min="1" max="1" width="28.7109375" customWidth="1"/>
    <col min="2" max="7" width="16.7109375" customWidth="1"/>
    <col min="8" max="8" width="44.7109375" customWidth="1"/>
  </cols>
  <sheetData>
    <row r="1" spans="1:8">
      <c r="A1" s="1" t="s">
        <v>182</v>
      </c>
    </row>
    <row r="2" spans="1:8">
      <c r="A2" s="2" t="s">
        <v>183</v>
      </c>
    </row>
    <row r="4" spans="1:8">
      <c r="A4" s="6" t="s">
        <v>184</v>
      </c>
      <c r="B4" s="10">
        <f>'Historical Financials'!F17</f>
        <v>6071.996</v>
      </c>
    </row>
    <row r="6" spans="1:8">
      <c r="A6" s="8" t="s">
        <v>185</v>
      </c>
      <c r="B6" s="8" t="s">
        <v>186</v>
      </c>
      <c r="C6" s="8" t="s">
        <v>187</v>
      </c>
      <c r="D6" s="8" t="s">
        <v>188</v>
      </c>
      <c r="E6" s="8" t="s">
        <v>189</v>
      </c>
      <c r="F6" s="8" t="s">
        <v>164</v>
      </c>
      <c r="G6" s="8" t="s">
        <v>165</v>
      </c>
      <c r="H6" s="8" t="s">
        <v>166</v>
      </c>
    </row>
    <row r="7" spans="1:8">
      <c r="A7" s="6" t="s">
        <v>190</v>
      </c>
      <c r="B7" s="15">
        <v>0.72</v>
      </c>
      <c r="C7" s="10">
        <f>$B$4*B7</f>
        <v>4371.83712</v>
      </c>
      <c r="D7" s="15">
        <v>1</v>
      </c>
      <c r="E7" s="10">
        <f>C7*D7</f>
        <v>4371.83712</v>
      </c>
      <c r="F7" s="11">
        <f>'ABL Assumptions'!B10</f>
        <v>0.5</v>
      </c>
      <c r="G7" s="10">
        <f>E7*F7</f>
        <v>2185.91856</v>
      </c>
      <c r="H7" s="5" t="s">
        <v>191</v>
      </c>
    </row>
    <row r="8" spans="1:8">
      <c r="A8" s="6" t="s">
        <v>192</v>
      </c>
      <c r="B8" s="15">
        <v>0.1</v>
      </c>
      <c r="C8" s="10">
        <f>$B$4*B8</f>
        <v>607.1996</v>
      </c>
      <c r="D8" s="15">
        <v>0.5</v>
      </c>
      <c r="E8" s="10">
        <f>C8*D8</f>
        <v>303.5998</v>
      </c>
      <c r="F8" s="11">
        <f>'ABL Assumptions'!B10</f>
        <v>0.5</v>
      </c>
      <c r="G8" s="10">
        <f>E8*F8</f>
        <v>151.7999</v>
      </c>
      <c r="H8" s="5" t="s">
        <v>193</v>
      </c>
    </row>
    <row r="9" spans="1:8">
      <c r="A9" s="6" t="s">
        <v>194</v>
      </c>
      <c r="B9" s="15">
        <v>0</v>
      </c>
      <c r="C9" s="10">
        <f>$B$4*B9</f>
        <v>0.0</v>
      </c>
      <c r="D9" s="15">
        <v>0</v>
      </c>
      <c r="E9" s="10">
        <f>C9*D9</f>
        <v>0.0</v>
      </c>
      <c r="F9" s="11">
        <f>'ABL Assumptions'!B10</f>
        <v>0.5</v>
      </c>
      <c r="G9" s="10">
        <f>E9*F9</f>
        <v>0.0</v>
      </c>
      <c r="H9" s="5" t="s">
        <v>195</v>
      </c>
    </row>
    <row r="10" spans="1:8">
      <c r="A10" s="6" t="s">
        <v>196</v>
      </c>
      <c r="B10" s="15">
        <v>0</v>
      </c>
      <c r="C10" s="10">
        <f>$B$4*B10</f>
        <v>0.0</v>
      </c>
      <c r="D10" s="15">
        <v>0</v>
      </c>
      <c r="E10" s="10">
        <f>C10*D10</f>
        <v>0.0</v>
      </c>
      <c r="F10" s="11">
        <f>'ABL Assumptions'!B10</f>
        <v>0.5</v>
      </c>
      <c r="G10" s="10">
        <f>E10*F10</f>
        <v>0.0</v>
      </c>
      <c r="H10" s="5" t="s">
        <v>195</v>
      </c>
    </row>
    <row r="11" spans="1:8">
      <c r="A11" s="6" t="s">
        <v>197</v>
      </c>
      <c r="B11" s="15">
        <v>0.05</v>
      </c>
      <c r="C11" s="10">
        <f>$B$4*B11</f>
        <v>303.5998</v>
      </c>
      <c r="D11" s="15">
        <v>0</v>
      </c>
      <c r="E11" s="10">
        <f>C11*D11</f>
        <v>0.0</v>
      </c>
      <c r="F11" s="11">
        <f>'ABL Assumptions'!B10</f>
        <v>0.5</v>
      </c>
      <c r="G11" s="10">
        <f>E11*F11</f>
        <v>0.0</v>
      </c>
      <c r="H11" s="5" t="s">
        <v>198</v>
      </c>
    </row>
    <row r="12" spans="1:8">
      <c r="A12" s="6" t="s">
        <v>199</v>
      </c>
      <c r="B12" s="15">
        <v>0.04</v>
      </c>
      <c r="C12" s="10">
        <f>$B$4*B12</f>
        <v>242.87984</v>
      </c>
      <c r="D12" s="15">
        <v>0</v>
      </c>
      <c r="E12" s="10">
        <f>C12*D12</f>
        <v>0.0</v>
      </c>
      <c r="F12" s="11">
        <f>'ABL Assumptions'!B10</f>
        <v>0.5</v>
      </c>
      <c r="G12" s="10">
        <f>E12*F12</f>
        <v>0.0</v>
      </c>
      <c r="H12" s="5" t="s">
        <v>200</v>
      </c>
    </row>
    <row r="13" spans="1:8">
      <c r="A13" s="6" t="s">
        <v>201</v>
      </c>
      <c r="B13" s="15">
        <v>0.03</v>
      </c>
      <c r="C13" s="10">
        <f>$B$4*B13</f>
        <v>182.15988</v>
      </c>
      <c r="D13" s="15">
        <v>0</v>
      </c>
      <c r="E13" s="10">
        <f>C13*D13</f>
        <v>0.0</v>
      </c>
      <c r="F13" s="11">
        <f>'ABL Assumptions'!B10</f>
        <v>0.5</v>
      </c>
      <c r="G13" s="10">
        <f>E13*F13</f>
        <v>0.0</v>
      </c>
      <c r="H13" s="5" t="s">
        <v>202</v>
      </c>
    </row>
    <row r="14" spans="1:8">
      <c r="A14" s="6" t="s">
        <v>203</v>
      </c>
      <c r="B14" s="15">
        <v>0.06</v>
      </c>
      <c r="C14" s="10">
        <f>$B$4*B14</f>
        <v>364.31976</v>
      </c>
      <c r="D14" s="15">
        <v>1</v>
      </c>
      <c r="E14" s="10">
        <f>C14*D14</f>
        <v>364.31976</v>
      </c>
      <c r="F14" s="11">
        <f>'ABL Assumptions'!B10</f>
        <v>0.5</v>
      </c>
      <c r="G14" s="10">
        <f>E14*F14</f>
        <v>182.15988</v>
      </c>
      <c r="H14" s="5" t="s">
        <v>204</v>
      </c>
    </row>
    <row r="15" spans="1:8">
      <c r="A15" s="6" t="s">
        <v>181</v>
      </c>
      <c r="B15" s="17">
        <f>SUM(B7:B14)</f>
        <v>1.0</v>
      </c>
      <c r="C15" s="12">
        <f>SUM(C7:C14)</f>
        <v>6071.996</v>
      </c>
      <c r="E15" s="12">
        <f>SUM(E7:E14)</f>
        <v>5039.7566799999995</v>
      </c>
      <c r="G15" s="12">
        <f>SUM(G7:G14)</f>
        <v>2519.8783399999998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"/>
  <sheetViews>
    <sheetView showGridLines="0" zoomScale="90" zoomScaleNormal="90" workbookViewId="0"/>
  </sheetViews>
  <sheetFormatPr defaultRowHeight="15"/>
  <cols>
    <col min="1" max="1" width="20.7109375" customWidth="1"/>
    <col min="2" max="7" width="16.7109375" customWidth="1"/>
    <col min="8" max="8" width="38.7109375" customWidth="1"/>
  </cols>
  <sheetData>
    <row r="1" spans="1:8">
      <c r="A1" s="1" t="s">
        <v>205</v>
      </c>
    </row>
    <row r="2" spans="1:8">
      <c r="A2" s="2" t="s">
        <v>206</v>
      </c>
    </row>
    <row r="4" spans="1:8">
      <c r="A4" s="6" t="s">
        <v>158</v>
      </c>
      <c r="B4" s="10">
        <f>'Historical Financials'!F16</f>
        <v>2370.939</v>
      </c>
    </row>
    <row r="6" spans="1:8">
      <c r="A6" s="8" t="s">
        <v>207</v>
      </c>
      <c r="B6" s="8" t="s">
        <v>160</v>
      </c>
      <c r="C6" s="8" t="s">
        <v>208</v>
      </c>
      <c r="D6" s="8" t="s">
        <v>209</v>
      </c>
      <c r="E6" s="8" t="s">
        <v>210</v>
      </c>
      <c r="F6" s="8" t="s">
        <v>211</v>
      </c>
      <c r="G6" s="8" t="s">
        <v>212</v>
      </c>
      <c r="H6" s="8" t="s">
        <v>97</v>
      </c>
    </row>
    <row r="7" spans="1:8">
      <c r="A7" s="6" t="s">
        <v>213</v>
      </c>
      <c r="B7" s="15">
        <v>0.14</v>
      </c>
      <c r="C7" s="10">
        <f>$B$4*B7</f>
        <v>331.93146</v>
      </c>
      <c r="D7" s="15">
        <v>0.1</v>
      </c>
      <c r="E7" s="10">
        <f>MAX(0,C7-$B$4*D7)</f>
        <v>94.83756000000002</v>
      </c>
      <c r="F7" s="10">
        <f>E7*'ABL Assumptions'!B7</f>
        <v>80.61192600000003</v>
      </c>
      <c r="G7" s="18" t="str">
        <f>IF(B7&gt;D7,"Breach","OK")</f>
        <v>Breach</v>
      </c>
      <c r="H7" s="5" t="s">
        <v>214</v>
      </c>
    </row>
    <row r="8" spans="1:8">
      <c r="A8" s="6" t="s">
        <v>215</v>
      </c>
      <c r="B8" s="15">
        <v>0.11</v>
      </c>
      <c r="C8" s="10">
        <f>$B$4*B8</f>
        <v>260.80329</v>
      </c>
      <c r="D8" s="15">
        <v>0.1</v>
      </c>
      <c r="E8" s="10">
        <f>MAX(0,C8-$B$4*D8)</f>
        <v>23.709390000000013</v>
      </c>
      <c r="F8" s="10">
        <f>E8*'ABL Assumptions'!B7</f>
        <v>20.15298150000001</v>
      </c>
      <c r="G8" s="18" t="str">
        <f>IF(B8&gt;D8,"Breach","OK")</f>
        <v>Breach</v>
      </c>
      <c r="H8" s="5" t="s">
        <v>214</v>
      </c>
    </row>
    <row r="9" spans="1:8">
      <c r="A9" s="6" t="s">
        <v>216</v>
      </c>
      <c r="B9" s="15">
        <v>0.08</v>
      </c>
      <c r="C9" s="10">
        <f>$B$4*B9</f>
        <v>189.67512</v>
      </c>
      <c r="D9" s="15">
        <v>0.1</v>
      </c>
      <c r="E9" s="10">
        <f>MAX(0,C9-$B$4*D9)</f>
        <v>0</v>
      </c>
      <c r="F9" s="10">
        <f>E9*'ABL Assumptions'!B7</f>
        <v>0.0</v>
      </c>
      <c r="G9" s="19" t="str">
        <f>IF(B9&gt;D9,"Breach","OK")</f>
        <v>OK</v>
      </c>
      <c r="H9" s="5" t="s">
        <v>214</v>
      </c>
    </row>
    <row r="10" spans="1:8">
      <c r="A10" s="6" t="s">
        <v>217</v>
      </c>
      <c r="B10" s="15">
        <v>0.07000000000000001</v>
      </c>
      <c r="C10" s="10">
        <f>$B$4*B10</f>
        <v>165.96573</v>
      </c>
      <c r="D10" s="15">
        <v>0.1</v>
      </c>
      <c r="E10" s="10">
        <f>MAX(0,C10-$B$4*D10)</f>
        <v>0</v>
      </c>
      <c r="F10" s="10">
        <f>E10*'ABL Assumptions'!B7</f>
        <v>0.0</v>
      </c>
      <c r="G10" s="19" t="str">
        <f>IF(B10&gt;D10,"Breach","OK")</f>
        <v>OK</v>
      </c>
      <c r="H10" s="5" t="s">
        <v>214</v>
      </c>
    </row>
    <row r="11" spans="1:8">
      <c r="A11" s="6" t="s">
        <v>218</v>
      </c>
      <c r="B11" s="15">
        <v>0.06</v>
      </c>
      <c r="C11" s="10">
        <f>$B$4*B11</f>
        <v>142.25634</v>
      </c>
      <c r="D11" s="15">
        <v>0.1</v>
      </c>
      <c r="E11" s="10">
        <f>MAX(0,C11-$B$4*D11)</f>
        <v>0</v>
      </c>
      <c r="F11" s="10">
        <f>E11*'ABL Assumptions'!B7</f>
        <v>0.0</v>
      </c>
      <c r="G11" s="19" t="str">
        <f>IF(B11&gt;D11,"Breach","OK")</f>
        <v>OK</v>
      </c>
      <c r="H11" s="5" t="s">
        <v>214</v>
      </c>
    </row>
    <row r="12" spans="1:8">
      <c r="A12" s="6" t="s">
        <v>219</v>
      </c>
      <c r="B12" s="15">
        <v>0.05</v>
      </c>
      <c r="C12" s="10">
        <f>$B$4*B12</f>
        <v>118.54695</v>
      </c>
      <c r="D12" s="15">
        <v>0.1</v>
      </c>
      <c r="E12" s="10">
        <f>MAX(0,C12-$B$4*D12)</f>
        <v>0</v>
      </c>
      <c r="F12" s="10">
        <f>E12*'ABL Assumptions'!B7</f>
        <v>0.0</v>
      </c>
      <c r="G12" s="19" t="str">
        <f>IF(B12&gt;D12,"Breach","OK")</f>
        <v>OK</v>
      </c>
      <c r="H12" s="5" t="s">
        <v>214</v>
      </c>
    </row>
    <row r="13" spans="1:8">
      <c r="A13" s="6" t="s">
        <v>220</v>
      </c>
      <c r="B13" s="15">
        <v>0.04</v>
      </c>
      <c r="C13" s="10">
        <f>$B$4*B13</f>
        <v>94.83756</v>
      </c>
      <c r="D13" s="15">
        <v>0.1</v>
      </c>
      <c r="E13" s="10">
        <f>MAX(0,C13-$B$4*D13)</f>
        <v>0</v>
      </c>
      <c r="F13" s="10">
        <f>E13*'ABL Assumptions'!B7</f>
        <v>0.0</v>
      </c>
      <c r="G13" s="19" t="str">
        <f>IF(B13&gt;D13,"Breach","OK")</f>
        <v>OK</v>
      </c>
      <c r="H13" s="5" t="s">
        <v>214</v>
      </c>
    </row>
    <row r="14" spans="1:8">
      <c r="A14" s="6" t="s">
        <v>221</v>
      </c>
      <c r="B14" s="15">
        <v>0.03</v>
      </c>
      <c r="C14" s="10">
        <f>$B$4*B14</f>
        <v>71.12817</v>
      </c>
      <c r="D14" s="15">
        <v>0.1</v>
      </c>
      <c r="E14" s="10">
        <f>MAX(0,C14-$B$4*D14)</f>
        <v>0</v>
      </c>
      <c r="F14" s="10">
        <f>E14*'ABL Assumptions'!B7</f>
        <v>0.0</v>
      </c>
      <c r="G14" s="19" t="str">
        <f>IF(B14&gt;D14,"Breach","OK")</f>
        <v>OK</v>
      </c>
      <c r="H14" s="5" t="s">
        <v>214</v>
      </c>
    </row>
    <row r="15" spans="1:8">
      <c r="A15" s="6" t="s">
        <v>222</v>
      </c>
      <c r="B15" s="15">
        <v>0.02</v>
      </c>
      <c r="C15" s="10">
        <f>$B$4*B15</f>
        <v>47.41878</v>
      </c>
      <c r="D15" s="15">
        <v>0.1</v>
      </c>
      <c r="E15" s="10">
        <f>MAX(0,C15-$B$4*D15)</f>
        <v>0</v>
      </c>
      <c r="F15" s="10">
        <f>E15*'ABL Assumptions'!B7</f>
        <v>0.0</v>
      </c>
      <c r="G15" s="19" t="str">
        <f>IF(B15&gt;D15,"Breach","OK")</f>
        <v>OK</v>
      </c>
      <c r="H15" s="5" t="s">
        <v>214</v>
      </c>
    </row>
    <row r="16" spans="1:8">
      <c r="A16" s="6" t="s">
        <v>223</v>
      </c>
      <c r="B16" s="15">
        <v>0.015</v>
      </c>
      <c r="C16" s="10">
        <f>$B$4*B16</f>
        <v>35.564085</v>
      </c>
      <c r="D16" s="15">
        <v>0.1</v>
      </c>
      <c r="E16" s="10">
        <f>MAX(0,C16-$B$4*D16)</f>
        <v>0</v>
      </c>
      <c r="F16" s="10">
        <f>E16*'ABL Assumptions'!B7</f>
        <v>0.0</v>
      </c>
      <c r="G16" s="19" t="str">
        <f>IF(B16&gt;D16,"Breach","OK")</f>
        <v>OK</v>
      </c>
      <c r="H16" s="5" t="s">
        <v>214</v>
      </c>
    </row>
    <row r="17" spans="1:8">
      <c r="A17" s="6" t="s">
        <v>224</v>
      </c>
      <c r="B17" s="15">
        <v>0.385</v>
      </c>
      <c r="C17" s="10">
        <f>$B$4*B17</f>
        <v>912.811515</v>
      </c>
      <c r="D17" s="15">
        <v>0.1</v>
      </c>
      <c r="E17" s="10">
        <f>MAX(0,C17-$B$4*D17)</f>
        <v>675.717615</v>
      </c>
      <c r="F17" s="10">
        <f>E17*'ABL Assumptions'!B7</f>
        <v>574.35997275</v>
      </c>
      <c r="G17" s="18" t="str">
        <f>IF(B17&gt;D17,"Breach","OK")</f>
        <v>Breach</v>
      </c>
      <c r="H17" s="5" t="s">
        <v>214</v>
      </c>
    </row>
    <row r="18" spans="1:8">
      <c r="A18" s="6" t="s">
        <v>181</v>
      </c>
      <c r="B18" s="17">
        <f>SUM(B7:B17)</f>
        <v>1.0</v>
      </c>
      <c r="C18" s="12">
        <f>SUM(C7:C17)</f>
        <v>2370.939</v>
      </c>
      <c r="F18" s="12">
        <f>SUM(F7:F17)</f>
        <v>36.2753667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6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6.7109375" customWidth="1"/>
    <col min="2" max="4" width="16.7109375" customWidth="1"/>
    <col min="5" max="5" width="48.7109375" customWidth="1"/>
  </cols>
  <sheetData>
    <row r="1" spans="1:5">
      <c r="A1" s="1" t="s">
        <v>225</v>
      </c>
    </row>
    <row r="2" spans="1:5">
      <c r="A2" s="2" t="s">
        <v>226</v>
      </c>
    </row>
    <row r="4" spans="1:5">
      <c r="A4" s="8" t="s">
        <v>227</v>
      </c>
      <c r="B4" s="8" t="s">
        <v>122</v>
      </c>
      <c r="C4" s="8" t="s">
        <v>123</v>
      </c>
      <c r="D4" s="8" t="s">
        <v>124</v>
      </c>
      <c r="E4" s="8" t="s">
        <v>228</v>
      </c>
    </row>
    <row r="5" spans="1:5">
      <c r="A5" s="6" t="s">
        <v>161</v>
      </c>
      <c r="B5" s="10">
        <f>'Historical Financials'!F16*(1+'ABL Assumptions'!B5)</f>
        <v>2418.35778</v>
      </c>
      <c r="C5" s="10">
        <f>'Historical Financials'!F16*(1+'ABL Assumptions'!C5)</f>
        <v>2181.26388</v>
      </c>
      <c r="D5" s="10">
        <f>'Historical Financials'!F16*(1+'ABL Assumptions'!D5)</f>
        <v>1944.1699800000001</v>
      </c>
      <c r="E5" s="5" t="s">
        <v>229</v>
      </c>
    </row>
    <row r="6" spans="1:5">
      <c r="A6" s="6" t="s">
        <v>130</v>
      </c>
      <c r="B6" s="11">
        <f>'ABL Assumptions'!B7</f>
        <v>0.92</v>
      </c>
      <c r="C6" s="11">
        <f>'ABL Assumptions'!C7</f>
        <v>0.87</v>
      </c>
      <c r="D6" s="11">
        <f>'ABL Assumptions'!D7</f>
        <v>0.8</v>
      </c>
      <c r="E6" s="5" t="s">
        <v>230</v>
      </c>
    </row>
    <row r="7" spans="1:5">
      <c r="A7" s="6" t="s">
        <v>163</v>
      </c>
      <c r="B7" s="10">
        <f>B5*B6</f>
        <v>2224.8891576</v>
      </c>
      <c r="C7" s="10">
        <f>C5*C6</f>
        <v>1897.6995756</v>
      </c>
      <c r="D7" s="10">
        <f>D5*D6</f>
        <v>1555.3359840000003</v>
      </c>
      <c r="E7" s="5" t="s">
        <v>231</v>
      </c>
    </row>
    <row r="8" spans="1:5">
      <c r="A8" s="6" t="s">
        <v>132</v>
      </c>
      <c r="B8" s="11">
        <f>'ABL Assumptions'!B8</f>
        <v>0.85</v>
      </c>
      <c r="C8" s="11">
        <f>'ABL Assumptions'!C8</f>
        <v>0.825</v>
      </c>
      <c r="D8" s="11">
        <f>'ABL Assumptions'!D8</f>
        <v>0.8</v>
      </c>
      <c r="E8" s="5" t="s">
        <v>230</v>
      </c>
    </row>
    <row r="9" spans="1:5">
      <c r="A9" s="6" t="s">
        <v>232</v>
      </c>
      <c r="B9" s="10">
        <f>B7*B8</f>
        <v>1891.15578396</v>
      </c>
      <c r="C9" s="10">
        <f>C7*C8</f>
        <v>1565.6021498699997</v>
      </c>
      <c r="D9" s="10">
        <f>D7*D8</f>
        <v>1244.2687872000004</v>
      </c>
      <c r="E9" s="5" t="s">
        <v>233</v>
      </c>
    </row>
    <row r="10" spans="1:5">
      <c r="A10" s="6" t="s">
        <v>187</v>
      </c>
      <c r="B10" s="10">
        <f>'Historical Financials'!F17*(1+'ABL Assumptions'!B9)</f>
        <v>6193.43592</v>
      </c>
      <c r="C10" s="10">
        <f>'Historical Financials'!F17*(1+'ABL Assumptions'!C9)</f>
        <v>6557.75568</v>
      </c>
      <c r="D10" s="10">
        <f>'Historical Financials'!F17*(1+'ABL Assumptions'!D9)</f>
        <v>6800.635520000001</v>
      </c>
      <c r="E10" s="5" t="s">
        <v>234</v>
      </c>
    </row>
    <row r="11" spans="1:5">
      <c r="A11" s="6" t="s">
        <v>136</v>
      </c>
      <c r="B11" s="11">
        <f>'ABL Assumptions'!B10</f>
        <v>0.75</v>
      </c>
      <c r="C11" s="11">
        <f>'ABL Assumptions'!C10</f>
        <v>0.65</v>
      </c>
      <c r="D11" s="11">
        <f>'ABL Assumptions'!D10</f>
        <v>0.55</v>
      </c>
      <c r="E11" s="5" t="s">
        <v>230</v>
      </c>
    </row>
    <row r="12" spans="1:5">
      <c r="A12" s="6" t="s">
        <v>189</v>
      </c>
      <c r="B12" s="10">
        <f>B10*B11</f>
        <v>4645.07694</v>
      </c>
      <c r="C12" s="10">
        <f>C10*C11</f>
        <v>4262.541192000001</v>
      </c>
      <c r="D12" s="10">
        <f>D10*D11</f>
        <v>3740.3495360000006</v>
      </c>
      <c r="E12" s="5" t="s">
        <v>235</v>
      </c>
    </row>
    <row r="13" spans="1:5">
      <c r="A13" s="6" t="s">
        <v>138</v>
      </c>
      <c r="B13" s="11">
        <f>'ABL Assumptions'!B11</f>
        <v>0.5</v>
      </c>
      <c r="C13" s="11">
        <f>'ABL Assumptions'!C11</f>
        <v>0.45</v>
      </c>
      <c r="D13" s="11">
        <f>'ABL Assumptions'!D11</f>
        <v>0.4</v>
      </c>
      <c r="E13" s="5" t="s">
        <v>230</v>
      </c>
    </row>
    <row r="14" spans="1:5">
      <c r="A14" s="6" t="s">
        <v>236</v>
      </c>
      <c r="B14" s="10">
        <f>B12*B13</f>
        <v>2322.53847</v>
      </c>
      <c r="C14" s="10">
        <f>C12*C13</f>
        <v>1918.1435364000004</v>
      </c>
      <c r="D14" s="10">
        <f>D12*D13</f>
        <v>1496.1398144000004</v>
      </c>
      <c r="E14" s="5" t="s">
        <v>237</v>
      </c>
    </row>
    <row r="15" spans="1:5">
      <c r="A15" s="6" t="s">
        <v>238</v>
      </c>
      <c r="B15" s="12">
        <f>B9+B14</f>
        <v>4213.69425396</v>
      </c>
      <c r="C15" s="12">
        <f>C9+C14</f>
        <v>3483.74568627</v>
      </c>
      <c r="D15" s="12">
        <f>D9+D14</f>
        <v>2740.408601600001</v>
      </c>
      <c r="E15" s="5" t="s">
        <v>239</v>
      </c>
    </row>
    <row r="16" spans="1:5">
      <c r="A16" s="6" t="s">
        <v>240</v>
      </c>
      <c r="B16" s="10">
        <f>B5*'ABL Assumptions'!B12</f>
        <v>48.3671556</v>
      </c>
      <c r="C16" s="10">
        <f>C5*'ABL Assumptions'!C12</f>
        <v>76.3442358</v>
      </c>
      <c r="D16" s="10">
        <f>D5*'ABL Assumptions'!D12</f>
        <v>97.20849900000002</v>
      </c>
      <c r="E16" s="5" t="s">
        <v>241</v>
      </c>
    </row>
    <row r="17" spans="1:5">
      <c r="A17" s="6" t="s">
        <v>242</v>
      </c>
      <c r="B17" s="10">
        <f>MAX(B5*'ABL Assumptions'!B13,'Customer Concentration'!$F$18*B5/'Customer Concentration'!$C$18)</f>
        <v>36.2753667</v>
      </c>
      <c r="C17" s="10">
        <f>MAX(C5*'ABL Assumptions'!C13,'Customer Concentration'!$F$18*C5/'Customer Concentration'!$C$18)</f>
        <v>65.43791639999999</v>
      </c>
      <c r="D17" s="10">
        <f>MAX(D5*'ABL Assumptions'!D13,'Customer Concentration'!$F$18*D5/'Customer Concentration'!$C$18)</f>
        <v>97.20849900000002</v>
      </c>
      <c r="E17" s="5" t="s">
        <v>243</v>
      </c>
    </row>
    <row r="18" spans="1:5">
      <c r="A18" s="6" t="s">
        <v>244</v>
      </c>
      <c r="B18" s="10">
        <f>'ABL Assumptions'!B14</f>
        <v>150.0</v>
      </c>
      <c r="C18" s="10">
        <f>'ABL Assumptions'!C14</f>
        <v>250.0</v>
      </c>
      <c r="D18" s="10">
        <f>'ABL Assumptions'!D14</f>
        <v>350.0</v>
      </c>
      <c r="E18" s="5" t="s">
        <v>230</v>
      </c>
    </row>
    <row r="19" spans="1:5">
      <c r="A19" s="6" t="s">
        <v>245</v>
      </c>
      <c r="B19" s="10">
        <f>'ABL Assumptions'!B15</f>
        <v>100.0</v>
      </c>
      <c r="C19" s="10">
        <f>'ABL Assumptions'!C15</f>
        <v>150.0</v>
      </c>
      <c r="D19" s="10">
        <f>'ABL Assumptions'!D15</f>
        <v>200.0</v>
      </c>
      <c r="E19" s="5" t="s">
        <v>230</v>
      </c>
    </row>
    <row r="20" spans="1:5">
      <c r="A20" s="6" t="s">
        <v>246</v>
      </c>
      <c r="B20" s="12">
        <f>SUM(B16:B19)</f>
        <v>334.6425223</v>
      </c>
      <c r="C20" s="12">
        <f>SUM(C16:C19)</f>
        <v>541.7821521999999</v>
      </c>
      <c r="D20" s="12">
        <f>SUM(D16:D19)</f>
        <v>744.416998</v>
      </c>
      <c r="E20" s="5" t="s">
        <v>247</v>
      </c>
    </row>
    <row r="21" spans="1:5">
      <c r="A21" s="6" t="s">
        <v>248</v>
      </c>
      <c r="B21" s="12">
        <f>B15-B20</f>
        <v>3879.0517316600003</v>
      </c>
      <c r="C21" s="12">
        <f>C15-C20</f>
        <v>2941.96353407</v>
      </c>
      <c r="D21" s="12">
        <f>D15-D20</f>
        <v>1995.9916036000009</v>
      </c>
      <c r="E21" s="5" t="s">
        <v>249</v>
      </c>
    </row>
    <row r="22" spans="1:5">
      <c r="A22" s="6" t="s">
        <v>250</v>
      </c>
      <c r="B22" s="10">
        <f>SUM('Historical Financials'!F21:F23)*(1+'ABL Assumptions'!B16)</f>
        <v>1640.328</v>
      </c>
      <c r="C22" s="10">
        <f>SUM('Historical Financials'!F21:F23)*(1+'ABL Assumptions'!C16)</f>
        <v>1804.3608000000002</v>
      </c>
      <c r="D22" s="10">
        <f>SUM('Historical Financials'!F21:F23)*(1+'ABL Assumptions'!D16)</f>
        <v>1968.3935999999999</v>
      </c>
      <c r="E22" s="5" t="s">
        <v>251</v>
      </c>
    </row>
    <row r="23" spans="1:5">
      <c r="A23" s="6" t="s">
        <v>252</v>
      </c>
      <c r="B23" s="12">
        <f>B21-B22</f>
        <v>2238.7237316600003</v>
      </c>
      <c r="C23" s="12">
        <f>C21-C22</f>
        <v>1137.60273407</v>
      </c>
      <c r="D23" s="12">
        <f>D21-D22</f>
        <v>27.598003600000993</v>
      </c>
      <c r="E23" s="5" t="s">
        <v>253</v>
      </c>
    </row>
    <row r="24" spans="1:5">
      <c r="A24" s="6" t="s">
        <v>254</v>
      </c>
      <c r="B24" s="17">
        <f>B22/B21</f>
        <v>0.42286829706652</v>
      </c>
      <c r="C24" s="17">
        <f>C22/C21</f>
        <v>0.6133185469854529</v>
      </c>
      <c r="D24" s="17">
        <f>D22/D21</f>
        <v>0.9861732867261441</v>
      </c>
      <c r="E24" s="5" t="s">
        <v>255</v>
      </c>
    </row>
    <row r="25" spans="1:5">
      <c r="A25" s="6" t="s">
        <v>256</v>
      </c>
      <c r="B25" s="12">
        <f>'Historical Financials'!F18+B23</f>
        <v>2715.9027316600004</v>
      </c>
      <c r="C25" s="12">
        <f>'Historical Financials'!F18+C23</f>
        <v>1614.7817340699999</v>
      </c>
      <c r="D25" s="12">
        <f>'Historical Financials'!F18+D23</f>
        <v>504.77700360000097</v>
      </c>
      <c r="E25" s="5" t="s">
        <v>257</v>
      </c>
    </row>
    <row r="26" spans="1:5">
      <c r="A26" s="6" t="s">
        <v>258</v>
      </c>
      <c r="B26" s="19" t="str">
        <f>IF(B23&lt;0,"Deficiency",IF(B23&lt;500,"Low Availability","OK"))</f>
        <v>OK</v>
      </c>
      <c r="C26" s="19" t="str">
        <f>IF(C23&lt;0,"Deficiency",IF(C23&lt;500,"Low Availability","OK"))</f>
        <v>OK</v>
      </c>
      <c r="D26" s="18" t="str">
        <f>IF(D23&lt;0,"Deficiency",IF(D23&lt;500,"Low Availability","OK"))</f>
        <v>Low Availability</v>
      </c>
      <c r="E26" s="5" t="s">
        <v>259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"/>
  <sheetViews>
    <sheetView showGridLines="0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34.7109375" customWidth="1"/>
    <col min="2" max="4" width="16.7109375" customWidth="1"/>
    <col min="5" max="5" width="48.7109375" customWidth="1"/>
  </cols>
  <sheetData>
    <row r="1" spans="1:5">
      <c r="A1" s="1" t="s">
        <v>260</v>
      </c>
    </row>
    <row r="2" spans="1:5">
      <c r="A2" s="2" t="s">
        <v>261</v>
      </c>
    </row>
    <row r="4" spans="1:5">
      <c r="A4" s="8" t="s">
        <v>37</v>
      </c>
      <c r="B4" s="8" t="s">
        <v>122</v>
      </c>
      <c r="C4" s="8" t="s">
        <v>123</v>
      </c>
      <c r="D4" s="8" t="s">
        <v>124</v>
      </c>
      <c r="E4" s="8" t="s">
        <v>262</v>
      </c>
    </row>
    <row r="5" spans="1:5">
      <c r="A5" s="6" t="s">
        <v>45</v>
      </c>
      <c r="B5" s="10">
        <f>'Historical Financials'!F5*(1+'ABL Assumptions'!B5)</f>
        <v>24786.14382</v>
      </c>
      <c r="C5" s="10">
        <f>'Historical Financials'!F5*(1+'ABL Assumptions'!C5)</f>
        <v>22356.12972</v>
      </c>
      <c r="D5" s="10">
        <f>'Historical Financials'!F5*(1+'ABL Assumptions'!D5)</f>
        <v>19926.11562</v>
      </c>
      <c r="E5" s="5" t="s">
        <v>263</v>
      </c>
    </row>
    <row r="6" spans="1:5">
      <c r="A6" s="6" t="s">
        <v>104</v>
      </c>
      <c r="B6" s="11">
        <f>MAX(0,'Historical Financials'!F11+'ABL Assumptions'!B6)</f>
        <v>0.03216133601858524</v>
      </c>
      <c r="C6" s="11">
        <f>MAX(0,'Historical Financials'!F11+'ABL Assumptions'!C6)</f>
        <v>0.017161336018585244</v>
      </c>
      <c r="D6" s="11">
        <f>MAX(0,'Historical Financials'!F11+'ABL Assumptions'!D6)</f>
        <v>0.0021613360185852443</v>
      </c>
      <c r="E6" s="5" t="s">
        <v>264</v>
      </c>
    </row>
    <row r="7" spans="1:5">
      <c r="A7" s="6" t="s">
        <v>102</v>
      </c>
      <c r="B7" s="12">
        <f>B5*B6</f>
        <v>797.1555000000001</v>
      </c>
      <c r="C7" s="12">
        <f>C5*C6</f>
        <v>383.6610542000001</v>
      </c>
      <c r="D7" s="12">
        <f>D5*D6</f>
        <v>43.06703140000005</v>
      </c>
      <c r="E7" s="5" t="s">
        <v>265</v>
      </c>
    </row>
    <row r="8" spans="1:5">
      <c r="A8" s="6" t="s">
        <v>266</v>
      </c>
      <c r="B8" s="10">
        <f>'Historical Financials'!F8+'Borrowing Base'!B22*'ABL Assumptions'!B17</f>
        <v>191.334</v>
      </c>
      <c r="C8" s="10">
        <f>'Historical Financials'!F8+'Borrowing Base'!C22*'ABL Assumptions'!C17</f>
        <v>209.377608</v>
      </c>
      <c r="D8" s="10">
        <f>'Historical Financials'!F8+'Borrowing Base'!D22*'ABL Assumptions'!D17</f>
        <v>240.54384</v>
      </c>
      <c r="E8" s="5" t="s">
        <v>267</v>
      </c>
    </row>
    <row r="9" spans="1:5">
      <c r="A9" s="6" t="s">
        <v>119</v>
      </c>
      <c r="B9" s="13">
        <f>B7/B8</f>
        <v>4.16630342751419</v>
      </c>
      <c r="C9" s="13">
        <f>C7/C8</f>
        <v>1.8323881806883573</v>
      </c>
      <c r="D9" s="13">
        <f>D7/D8</f>
        <v>0.17904025893990905</v>
      </c>
      <c r="E9" s="5" t="s">
        <v>268</v>
      </c>
    </row>
    <row r="10" spans="1:5">
      <c r="A10" s="6" t="s">
        <v>110</v>
      </c>
      <c r="B10" s="10">
        <f>'Historical Financials'!F25+('Borrowing Base'!B22-'Borrowing Base'!B22)</f>
        <v>5138.751</v>
      </c>
      <c r="C10" s="10">
        <f>'Historical Financials'!F25+('Borrowing Base'!C22-'Borrowing Base'!B22)</f>
        <v>5302.7838</v>
      </c>
      <c r="D10" s="10">
        <f>'Historical Financials'!F25+('Borrowing Base'!D22-'Borrowing Base'!B22)</f>
        <v>5466.8166</v>
      </c>
      <c r="E10" s="5" t="s">
        <v>269</v>
      </c>
    </row>
    <row r="11" spans="1:5">
      <c r="A11" s="6" t="s">
        <v>118</v>
      </c>
      <c r="B11" s="13">
        <f>B10/B7</f>
        <v>6.4463595873076205</v>
      </c>
      <c r="C11" s="13">
        <f>C10/C7</f>
        <v>13.821532683470375</v>
      </c>
      <c r="D11" s="13">
        <f>D10/D7</f>
        <v>126.93739090639978</v>
      </c>
      <c r="E11" s="5" t="s">
        <v>270</v>
      </c>
    </row>
    <row r="12" spans="1:5">
      <c r="A12" s="6" t="s">
        <v>271</v>
      </c>
      <c r="B12" s="10">
        <f>B7*'ABL Assumptions'!B18</f>
        <v>558.00885</v>
      </c>
      <c r="C12" s="10">
        <f>C7*'ABL Assumptions'!C18</f>
        <v>211.01357981000007</v>
      </c>
      <c r="D12" s="10">
        <f>D7*'ABL Assumptions'!D18</f>
        <v>15.073460990000015</v>
      </c>
      <c r="E12" s="5" t="s">
        <v>272</v>
      </c>
    </row>
    <row r="13" spans="1:5">
      <c r="A13" s="6" t="s">
        <v>273</v>
      </c>
      <c r="B13" s="10">
        <f>B5*'ABL Assumptions'!B19</f>
        <v>495.7228764</v>
      </c>
      <c r="C13" s="10">
        <f>C5*'ABL Assumptions'!C19</f>
        <v>491.83485384</v>
      </c>
      <c r="D13" s="10">
        <f>D5*'ABL Assumptions'!D19</f>
        <v>498.1528905</v>
      </c>
      <c r="E13" s="5" t="s">
        <v>274</v>
      </c>
    </row>
    <row r="14" spans="1:5">
      <c r="A14" s="6" t="s">
        <v>106</v>
      </c>
      <c r="B14" s="12">
        <f>B12-B13</f>
        <v>62.285973600000034</v>
      </c>
      <c r="C14" s="12">
        <f>C12-C13</f>
        <v>-280.8212740299999</v>
      </c>
      <c r="D14" s="12">
        <f>D12-D13</f>
        <v>-483.07942951</v>
      </c>
      <c r="E14" s="5" t="s">
        <v>275</v>
      </c>
    </row>
    <row r="15" spans="1:5">
      <c r="A15" s="6" t="s">
        <v>252</v>
      </c>
      <c r="B15" s="12">
        <f>'Borrowing Base'!B23</f>
        <v>2238.7237316600003</v>
      </c>
      <c r="C15" s="12">
        <f>'Borrowing Base'!C23</f>
        <v>1137.60273407</v>
      </c>
      <c r="D15" s="12">
        <f>'Borrowing Base'!D23</f>
        <v>27.598003600000993</v>
      </c>
      <c r="E15" s="5" t="s">
        <v>276</v>
      </c>
    </row>
    <row r="16" spans="1:5">
      <c r="A16" s="6" t="s">
        <v>256</v>
      </c>
      <c r="B16" s="12">
        <f>'Borrowing Base'!B25</f>
        <v>2715.9027316600004</v>
      </c>
      <c r="C16" s="12">
        <f>'Borrowing Base'!C25</f>
        <v>1614.7817340699999</v>
      </c>
      <c r="D16" s="12">
        <f>'Borrowing Base'!D25</f>
        <v>504.77700360000097</v>
      </c>
      <c r="E16" s="5" t="s">
        <v>257</v>
      </c>
    </row>
    <row r="17" spans="1:5">
      <c r="A17" s="6" t="s">
        <v>277</v>
      </c>
      <c r="B17" s="18" t="str">
        <f>IF(OR(B15&lt;0,B16&lt;0,B9&lt;1,B11&gt;8),"High Risk",IF(OR(B15&lt;500,B9&lt;2,B11&gt;5),"Watch","Pass"))</f>
        <v>Watch</v>
      </c>
      <c r="C17" s="20" t="str">
        <f>IF(OR(C15&lt;0,C16&lt;0,C9&lt;1,C11&gt;8),"High Risk",IF(OR(C15&lt;500,C9&lt;2,C11&gt;5),"Watch","Pass"))</f>
        <v>High Risk</v>
      </c>
      <c r="D17" s="20" t="str">
        <f>IF(OR(D15&lt;0,D16&lt;0,D9&lt;1,D11&gt;8),"High Risk",IF(OR(D15&lt;500,D9&lt;2,D11&gt;5),"Watch","Pass"))</f>
        <v>High Risk</v>
      </c>
      <c r="E17" s="5" t="s">
        <v>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6"/>
  <sheetViews>
    <sheetView showGridLines="0" zoomScale="90" zoomScaleNormal="90" workbookViewId="0"/>
  </sheetViews>
  <sheetFormatPr defaultRowHeight="15"/>
  <cols>
    <col min="1" max="1" width="2.7109375" customWidth="1"/>
    <col min="2" max="13" width="13.7109375" customWidth="1"/>
  </cols>
  <sheetData>
    <row r="1" spans="2:13" ht="26" customHeight="1"/>
    <row r="2" spans="2:13">
      <c r="B2" s="1" t="s">
        <v>279</v>
      </c>
    </row>
    <row r="3" spans="2:13">
      <c r="B3" s="2" t="s">
        <v>280</v>
      </c>
    </row>
    <row r="5" spans="2:13">
      <c r="B5" s="21" t="s">
        <v>281</v>
      </c>
      <c r="C5" s="21"/>
      <c r="D5" s="21" t="s">
        <v>282</v>
      </c>
      <c r="E5" s="21"/>
      <c r="F5" s="21" t="s">
        <v>283</v>
      </c>
      <c r="G5" s="21"/>
      <c r="H5" s="21" t="s">
        <v>284</v>
      </c>
      <c r="I5" s="21"/>
      <c r="J5" s="21" t="s">
        <v>285</v>
      </c>
      <c r="K5" s="21"/>
      <c r="L5" s="21" t="s">
        <v>286</v>
      </c>
      <c r="M5" s="21"/>
    </row>
    <row r="6" spans="2:13">
      <c r="B6" s="22">
        <f>'Borrowing Base'!B21</f>
        <v>3879.0517316600003</v>
      </c>
      <c r="C6" s="22"/>
      <c r="D6" s="22">
        <f>'Borrowing Base'!B23</f>
        <v>2238.7237316600003</v>
      </c>
      <c r="E6" s="22"/>
      <c r="F6" s="23">
        <f>'Borrowing Base'!B24</f>
        <v>0.42286829706652</v>
      </c>
      <c r="G6" s="23"/>
      <c r="H6" s="22">
        <f>'Borrowing Base'!D23</f>
        <v>27.598003600000993</v>
      </c>
      <c r="I6" s="22"/>
      <c r="J6" s="13">
        <f>'Cash Flow Stress'!D9</f>
        <v>0.17904025893990905</v>
      </c>
      <c r="K6" s="24"/>
      <c r="L6" s="20" t="str">
        <f>'Cash Flow Stress'!D17</f>
        <v>High Risk</v>
      </c>
      <c r="M6" s="24"/>
    </row>
    <row r="7" spans="2:13">
      <c r="B7" s="22"/>
      <c r="C7" s="22"/>
      <c r="D7" s="22"/>
      <c r="E7" s="22"/>
      <c r="F7" s="23"/>
      <c r="G7" s="23"/>
      <c r="H7" s="22"/>
      <c r="I7" s="22"/>
      <c r="J7" s="24"/>
      <c r="K7" s="24"/>
      <c r="L7" s="24"/>
      <c r="M7" s="24"/>
    </row>
    <row r="9" spans="2:13">
      <c r="B9" s="3" t="s">
        <v>287</v>
      </c>
    </row>
    <row r="10" spans="2:13">
      <c r="B10" s="8" t="s">
        <v>288</v>
      </c>
      <c r="C10" s="8" t="s">
        <v>289</v>
      </c>
      <c r="D10" s="8" t="s">
        <v>290</v>
      </c>
    </row>
    <row r="11" spans="2:13">
      <c r="B11" s="6" t="s">
        <v>291</v>
      </c>
      <c r="C11" s="18" t="s">
        <v>292</v>
      </c>
      <c r="D11" s="5" t="s">
        <v>293</v>
      </c>
    </row>
    <row r="12" spans="2:13">
      <c r="B12" s="6" t="s">
        <v>294</v>
      </c>
      <c r="C12" s="18" t="s">
        <v>292</v>
      </c>
      <c r="D12" s="5" t="s">
        <v>295</v>
      </c>
    </row>
    <row r="13" spans="2:13">
      <c r="B13" s="6" t="s">
        <v>296</v>
      </c>
      <c r="C13" s="18" t="s">
        <v>292</v>
      </c>
      <c r="D13" s="5" t="s">
        <v>297</v>
      </c>
    </row>
    <row r="14" spans="2:13">
      <c r="B14" s="6" t="s">
        <v>298</v>
      </c>
      <c r="C14" s="18" t="s">
        <v>292</v>
      </c>
      <c r="D14" s="5" t="s">
        <v>299</v>
      </c>
    </row>
    <row r="15" spans="2:13">
      <c r="B15" s="6" t="s">
        <v>300</v>
      </c>
      <c r="C15" s="19" t="s">
        <v>301</v>
      </c>
      <c r="D15" s="5" t="s">
        <v>302</v>
      </c>
    </row>
    <row r="16" spans="2:13">
      <c r="B16" s="6" t="s">
        <v>303</v>
      </c>
      <c r="C16" s="18" t="s">
        <v>292</v>
      </c>
      <c r="D16" s="5" t="s">
        <v>304</v>
      </c>
    </row>
  </sheetData>
  <mergeCells count="12">
    <mergeCell ref="B5:C5"/>
    <mergeCell ref="B6:C7"/>
    <mergeCell ref="D5:E5"/>
    <mergeCell ref="D6:E7"/>
    <mergeCell ref="F5:G5"/>
    <mergeCell ref="F6:G7"/>
    <mergeCell ref="H5:I5"/>
    <mergeCell ref="H6:I7"/>
    <mergeCell ref="J5:K5"/>
    <mergeCell ref="J6:K7"/>
    <mergeCell ref="L5:M5"/>
    <mergeCell ref="L6:M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3"/>
  <sheetViews>
    <sheetView showGridLines="0" zoomScale="90" zoomScaleNormal="90" workbookViewId="0"/>
  </sheetViews>
  <sheetFormatPr defaultRowHeight="15"/>
  <cols>
    <col min="1" max="1" width="38.7109375" customWidth="1"/>
    <col min="2" max="4" width="18.7109375" customWidth="1"/>
    <col min="5" max="5" width="58.7109375" customWidth="1"/>
  </cols>
  <sheetData>
    <row r="1" spans="1:5">
      <c r="A1" s="1" t="s">
        <v>305</v>
      </c>
    </row>
    <row r="4" spans="1:5">
      <c r="A4" s="8" t="s">
        <v>306</v>
      </c>
      <c r="B4" s="8" t="s">
        <v>307</v>
      </c>
      <c r="C4" s="8" t="s">
        <v>308</v>
      </c>
      <c r="D4" s="8" t="s">
        <v>289</v>
      </c>
      <c r="E4" s="8" t="s">
        <v>97</v>
      </c>
    </row>
    <row r="5" spans="1:5">
      <c r="A5" s="6" t="s">
        <v>309</v>
      </c>
      <c r="B5" s="11">
        <f>'AR Aging'!B14</f>
        <v>1.0</v>
      </c>
      <c r="C5" s="11">
        <v>1</v>
      </c>
      <c r="D5" s="19" t="str">
        <f>IF(ABS(B5-C5)&lt;0.0001,"OK","Review")</f>
        <v>OK</v>
      </c>
      <c r="E5" s="5" t="s">
        <v>310</v>
      </c>
    </row>
    <row r="6" spans="1:5">
      <c r="A6" s="6" t="s">
        <v>311</v>
      </c>
      <c r="B6" s="11">
        <f>'Inventory Eligibility'!B15</f>
        <v>1.0</v>
      </c>
      <c r="C6" s="11">
        <v>1</v>
      </c>
      <c r="D6" s="19" t="str">
        <f>IF(ABS(B6-C6)&lt;0.0001,"OK","Review")</f>
        <v>OK</v>
      </c>
      <c r="E6" s="5" t="s">
        <v>312</v>
      </c>
    </row>
    <row r="7" spans="1:5">
      <c r="A7" s="6" t="s">
        <v>313</v>
      </c>
      <c r="B7" s="11">
        <f>'Customer Concentration'!B18</f>
        <v>1.0</v>
      </c>
      <c r="C7" s="11">
        <v>1</v>
      </c>
      <c r="D7" s="19" t="str">
        <f>IF(ABS(B7-C7)&lt;0.0001,"OK","Review")</f>
        <v>OK</v>
      </c>
      <c r="E7" s="5" t="s">
        <v>314</v>
      </c>
    </row>
    <row r="8" spans="1:5">
      <c r="A8" s="6" t="s">
        <v>315</v>
      </c>
      <c r="B8" s="10">
        <f>'Borrowing Base'!B23</f>
        <v>2238.7237316600003</v>
      </c>
      <c r="C8" s="10">
        <v>0</v>
      </c>
      <c r="D8" s="19" t="str">
        <f>IF(B8&gt;C8,"OK","Review")</f>
        <v>OK</v>
      </c>
      <c r="E8" s="5" t="s">
        <v>316</v>
      </c>
    </row>
    <row r="9" spans="1:5">
      <c r="A9" s="6" t="s">
        <v>317</v>
      </c>
      <c r="B9" s="6" t="str">
        <f>'Cash Flow Stress'!D17</f>
        <v>High Risk</v>
      </c>
      <c r="C9" s="6" t="s">
        <v>318</v>
      </c>
      <c r="D9" s="19" t="str">
        <f>IF(B9&lt;&gt;"","OK","Review")</f>
        <v>OK</v>
      </c>
      <c r="E9" s="5" t="s">
        <v>319</v>
      </c>
    </row>
    <row r="10" spans="1:5">
      <c r="A10" s="6" t="s">
        <v>320</v>
      </c>
      <c r="B10" s="10">
        <f>'Historical Financials'!F8</f>
        <v>191.334</v>
      </c>
      <c r="C10" s="10">
        <v>0</v>
      </c>
      <c r="D10" s="19" t="str">
        <f>IF(B10&gt;C10,"OK","Review")</f>
        <v>OK</v>
      </c>
      <c r="E10" s="5" t="s">
        <v>321</v>
      </c>
    </row>
    <row r="13" spans="1:5">
      <c r="A13" s="3" t="s">
        <v>322</v>
      </c>
      <c r="B13" s="19" t="str">
        <f>IF(COUNTIF(D5:D10,"Review")=0,"OK","Review")</f>
        <v>OK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Sources</vt:lpstr>
      <vt:lpstr>Historical Financials</vt:lpstr>
      <vt:lpstr>ABL Assumptions</vt:lpstr>
      <vt:lpstr>AR Aging</vt:lpstr>
      <vt:lpstr>Inventory Eligibility</vt:lpstr>
      <vt:lpstr>Customer Concentration</vt:lpstr>
      <vt:lpstr>Borrowing Base</vt:lpstr>
      <vt:lpstr>Cash Flow Stress</vt:lpstr>
      <vt:lpstr>Dashboard</vt:lpstr>
      <vt:lpstr>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GPC ABL Borrowing Base Credit Model</dc:title>
  <dc:subject>Asset-based lending credit analysis</dc:subject>
  <dc:creator>Codex</dc:creator>
  <dc:description>Built from SEC companyfacts with explicit ABL assumptions.</dc:description>
  <cp:lastModifiedBy>Codex</cp:lastModifiedBy>
  <dcterms:created xsi:type="dcterms:W3CDTF">2026-07-01T19:48:57Z</dcterms:created>
  <dcterms:modified xsi:type="dcterms:W3CDTF">2026-07-01T19:48:57Z</dcterms:modified>
</cp:coreProperties>
</file>